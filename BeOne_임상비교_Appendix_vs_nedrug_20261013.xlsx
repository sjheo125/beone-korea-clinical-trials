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7_SuJin\Apply\202610_BeOne\"/>
    </mc:Choice>
  </mc:AlternateContent>
  <xr:revisionPtr revIDLastSave="0" documentId="13_ncr:1_{B47844A6-9764-4DCC-8BE6-E9EA0AFB459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요약" sheetId="1" r:id="rId1"/>
    <sheet name="시험별비교" sheetId="2" r:id="rId2"/>
    <sheet name="실시기관" sheetId="3" r:id="rId3"/>
    <sheet name="Appendix전체대조" sheetId="4" r:id="rId4"/>
    <sheet name="제품비교" sheetId="5" r:id="rId5"/>
  </sheets>
  <definedNames>
    <definedName name="_xlnm._FilterDatabase" localSheetId="3" hidden="1">Appendix전체대조!$A$4:$R$90</definedName>
    <definedName name="_xlnm._FilterDatabase" localSheetId="1" hidden="1">시험별비교!$A$4:$S$25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5" l="1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Q90" i="4"/>
  <c r="O90" i="4"/>
  <c r="Q89" i="4"/>
  <c r="O89" i="4"/>
  <c r="Q88" i="4"/>
  <c r="O88" i="4"/>
  <c r="Q87" i="4"/>
  <c r="O87" i="4"/>
  <c r="Q86" i="4"/>
  <c r="O86" i="4"/>
  <c r="Q85" i="4"/>
  <c r="O85" i="4"/>
  <c r="Q84" i="4"/>
  <c r="O84" i="4"/>
  <c r="Q83" i="4"/>
  <c r="O83" i="4"/>
  <c r="Q82" i="4"/>
  <c r="O82" i="4"/>
  <c r="Q81" i="4"/>
  <c r="O81" i="4"/>
  <c r="Q80" i="4"/>
  <c r="O80" i="4"/>
  <c r="Q79" i="4"/>
  <c r="O79" i="4"/>
  <c r="Q78" i="4"/>
  <c r="O78" i="4"/>
  <c r="Q77" i="4"/>
  <c r="O77" i="4"/>
  <c r="Q76" i="4"/>
  <c r="O76" i="4"/>
  <c r="Q75" i="4"/>
  <c r="O75" i="4"/>
  <c r="Q74" i="4"/>
  <c r="O74" i="4"/>
  <c r="Q73" i="4"/>
  <c r="O73" i="4"/>
  <c r="Q72" i="4"/>
  <c r="O72" i="4"/>
  <c r="Q71" i="4"/>
  <c r="O71" i="4"/>
  <c r="Q70" i="4"/>
  <c r="O70" i="4"/>
  <c r="Q69" i="4"/>
  <c r="O69" i="4"/>
  <c r="Q68" i="4"/>
  <c r="O68" i="4"/>
  <c r="Q67" i="4"/>
  <c r="O67" i="4"/>
  <c r="Q66" i="4"/>
  <c r="O66" i="4"/>
  <c r="Q65" i="4"/>
  <c r="O65" i="4"/>
  <c r="Q64" i="4"/>
  <c r="O64" i="4"/>
  <c r="Q63" i="4"/>
  <c r="O63" i="4"/>
  <c r="Q62" i="4"/>
  <c r="O62" i="4"/>
  <c r="Q61" i="4"/>
  <c r="O61" i="4"/>
  <c r="Q60" i="4"/>
  <c r="O60" i="4"/>
  <c r="Q59" i="4"/>
  <c r="O59" i="4"/>
  <c r="Q58" i="4"/>
  <c r="O58" i="4"/>
  <c r="Q57" i="4"/>
  <c r="O57" i="4"/>
  <c r="Q56" i="4"/>
  <c r="O56" i="4"/>
  <c r="Q55" i="4"/>
  <c r="O55" i="4"/>
  <c r="Q54" i="4"/>
  <c r="O54" i="4"/>
  <c r="Q53" i="4"/>
  <c r="O53" i="4"/>
  <c r="Q52" i="4"/>
  <c r="O52" i="4"/>
  <c r="Q51" i="4"/>
  <c r="O51" i="4"/>
  <c r="Q50" i="4"/>
  <c r="O50" i="4"/>
  <c r="Q49" i="4"/>
  <c r="O49" i="4"/>
  <c r="Q48" i="4"/>
  <c r="O48" i="4"/>
  <c r="Q47" i="4"/>
  <c r="O47" i="4"/>
  <c r="Q46" i="4"/>
  <c r="O46" i="4"/>
  <c r="Q45" i="4"/>
  <c r="O45" i="4"/>
  <c r="Q44" i="4"/>
  <c r="O44" i="4"/>
  <c r="Q43" i="4"/>
  <c r="O43" i="4"/>
  <c r="Q42" i="4"/>
  <c r="O42" i="4"/>
  <c r="Q41" i="4"/>
  <c r="O41" i="4"/>
  <c r="Q40" i="4"/>
  <c r="O40" i="4"/>
  <c r="Q39" i="4"/>
  <c r="O39" i="4"/>
  <c r="Q38" i="4"/>
  <c r="O38" i="4"/>
  <c r="Q37" i="4"/>
  <c r="O37" i="4"/>
  <c r="Q36" i="4"/>
  <c r="O36" i="4"/>
  <c r="Q35" i="4"/>
  <c r="O35" i="4"/>
  <c r="Q34" i="4"/>
  <c r="O34" i="4"/>
  <c r="Q33" i="4"/>
  <c r="O33" i="4"/>
  <c r="Q32" i="4"/>
  <c r="O32" i="4"/>
  <c r="Q31" i="4"/>
  <c r="O31" i="4"/>
  <c r="Q30" i="4"/>
  <c r="O30" i="4"/>
  <c r="Q29" i="4"/>
  <c r="O29" i="4"/>
  <c r="Q28" i="4"/>
  <c r="O28" i="4"/>
  <c r="Q27" i="4"/>
  <c r="O27" i="4"/>
  <c r="Q26" i="4"/>
  <c r="O26" i="4"/>
  <c r="Q25" i="4"/>
  <c r="O25" i="4"/>
  <c r="Q24" i="4"/>
  <c r="O24" i="4"/>
  <c r="Q23" i="4"/>
  <c r="O23" i="4"/>
  <c r="Q22" i="4"/>
  <c r="O22" i="4"/>
  <c r="Q21" i="4"/>
  <c r="O21" i="4"/>
  <c r="Q20" i="4"/>
  <c r="O20" i="4"/>
  <c r="Q19" i="4"/>
  <c r="O19" i="4"/>
  <c r="Q18" i="4"/>
  <c r="O18" i="4"/>
  <c r="Q17" i="4"/>
  <c r="O17" i="4"/>
  <c r="Q16" i="4"/>
  <c r="O16" i="4"/>
  <c r="Q15" i="4"/>
  <c r="O15" i="4"/>
  <c r="Q14" i="4"/>
  <c r="O14" i="4"/>
  <c r="Q13" i="4"/>
  <c r="O13" i="4"/>
  <c r="Q12" i="4"/>
  <c r="O12" i="4"/>
  <c r="Q11" i="4"/>
  <c r="O11" i="4"/>
  <c r="Q10" i="4"/>
  <c r="O10" i="4"/>
  <c r="Q9" i="4"/>
  <c r="O9" i="4"/>
  <c r="Q8" i="4"/>
  <c r="O8" i="4"/>
  <c r="Q7" i="4"/>
  <c r="O7" i="4"/>
  <c r="Q6" i="4"/>
  <c r="O6" i="4"/>
  <c r="Q5" i="4"/>
  <c r="O5" i="4"/>
  <c r="V38" i="3"/>
  <c r="Q25" i="2" s="1"/>
  <c r="U38" i="3"/>
  <c r="Q24" i="2" s="1"/>
  <c r="T38" i="3"/>
  <c r="Q23" i="2" s="1"/>
  <c r="S38" i="3"/>
  <c r="R38" i="3"/>
  <c r="Q38" i="3"/>
  <c r="P38" i="3"/>
  <c r="O38" i="3"/>
  <c r="N38" i="3"/>
  <c r="M38" i="3"/>
  <c r="L38" i="3"/>
  <c r="K38" i="3"/>
  <c r="J38" i="3"/>
  <c r="Q13" i="2" s="1"/>
  <c r="I38" i="3"/>
  <c r="Q12" i="2" s="1"/>
  <c r="H38" i="3"/>
  <c r="Q11" i="2" s="1"/>
  <c r="G38" i="3"/>
  <c r="Q10" i="2" s="1"/>
  <c r="F38" i="3"/>
  <c r="Q9" i="2" s="1"/>
  <c r="E38" i="3"/>
  <c r="Q8" i="2" s="1"/>
  <c r="D38" i="3"/>
  <c r="Q7" i="2" s="1"/>
  <c r="C38" i="3"/>
  <c r="Q6" i="2" s="1"/>
  <c r="B38" i="3"/>
  <c r="Q5" i="2" s="1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C25" i="2"/>
  <c r="V7" i="3" s="1"/>
  <c r="C24" i="2"/>
  <c r="U7" i="3" s="1"/>
  <c r="C23" i="2"/>
  <c r="T7" i="3" s="1"/>
  <c r="Q22" i="2"/>
  <c r="C22" i="2"/>
  <c r="S7" i="3" s="1"/>
  <c r="Q21" i="2"/>
  <c r="C21" i="2"/>
  <c r="R7" i="3" s="1"/>
  <c r="Q20" i="2"/>
  <c r="C20" i="2"/>
  <c r="Q7" i="3" s="1"/>
  <c r="Q19" i="2"/>
  <c r="C19" i="2"/>
  <c r="P7" i="3" s="1"/>
  <c r="Q18" i="2"/>
  <c r="C18" i="2"/>
  <c r="O7" i="3" s="1"/>
  <c r="Q17" i="2"/>
  <c r="C17" i="2"/>
  <c r="N7" i="3" s="1"/>
  <c r="Q16" i="2"/>
  <c r="C16" i="2"/>
  <c r="M7" i="3" s="1"/>
  <c r="Q15" i="2"/>
  <c r="C15" i="2"/>
  <c r="L7" i="3" s="1"/>
  <c r="Q14" i="2"/>
  <c r="C14" i="2"/>
  <c r="K7" i="3" s="1"/>
  <c r="C13" i="2"/>
  <c r="J7" i="3" s="1"/>
  <c r="C12" i="2"/>
  <c r="I7" i="3" s="1"/>
  <c r="C11" i="2"/>
  <c r="H7" i="3" s="1"/>
  <c r="C10" i="2"/>
  <c r="G7" i="3" s="1"/>
  <c r="C9" i="2"/>
  <c r="F7" i="3" s="1"/>
  <c r="C8" i="2"/>
  <c r="E7" i="3" s="1"/>
  <c r="C7" i="2"/>
  <c r="D7" i="3" s="1"/>
  <c r="C6" i="2"/>
  <c r="C7" i="3" s="1"/>
  <c r="C5" i="2"/>
  <c r="B7" i="3" s="1"/>
  <c r="B29" i="1"/>
  <c r="B28" i="1"/>
  <c r="B27" i="1"/>
  <c r="B26" i="1"/>
  <c r="B25" i="1"/>
  <c r="B23" i="1"/>
  <c r="B22" i="1"/>
  <c r="B21" i="1"/>
  <c r="B20" i="1"/>
  <c r="B19" i="1"/>
  <c r="B18" i="1"/>
  <c r="B17" i="1"/>
  <c r="B16" i="1"/>
  <c r="B15" i="1"/>
  <c r="B14" i="1"/>
  <c r="B13" i="1"/>
  <c r="B12" i="1"/>
  <c r="B31" i="1" l="1"/>
  <c r="B30" i="1"/>
  <c r="W8" i="3"/>
  <c r="W9" i="3"/>
  <c r="W15" i="3"/>
  <c r="W18" i="3"/>
  <c r="W22" i="3"/>
  <c r="W24" i="3"/>
  <c r="W25" i="3"/>
  <c r="W26" i="3"/>
  <c r="W28" i="3"/>
  <c r="W29" i="3"/>
  <c r="W31" i="3"/>
  <c r="W36" i="3"/>
  <c r="W13" i="3"/>
  <c r="W20" i="3"/>
  <c r="W34" i="3"/>
  <c r="W10" i="3"/>
  <c r="W12" i="3"/>
  <c r="W19" i="3"/>
  <c r="W21" i="3"/>
  <c r="W27" i="3"/>
  <c r="W32" i="3"/>
  <c r="W37" i="3"/>
  <c r="W11" i="3"/>
  <c r="W14" i="3"/>
  <c r="W16" i="3"/>
  <c r="W17" i="3"/>
  <c r="W23" i="3"/>
  <c r="W30" i="3"/>
  <c r="W33" i="3"/>
  <c r="W35" i="3"/>
  <c r="B24" i="1" l="1"/>
</calcChain>
</file>

<file path=xl/sharedStrings.xml><?xml version="1.0" encoding="utf-8"?>
<sst xmlns="http://schemas.openxmlformats.org/spreadsheetml/2006/main" count="1539" uniqueCount="802">
  <si>
    <t>BeOne 임상 교차 비교 요약 — Q2 2026 Appendix vs. 의약품안전나라(nedrug)</t>
  </si>
  <si>
    <t>작성일 2026-10-13 · 아래 집계 값은 모두 다른 시트를 참조하는 수식임</t>
  </si>
  <si>
    <t>1. 비교 대상</t>
  </si>
  <si>
    <t>자료</t>
  </si>
  <si>
    <t>기준일</t>
  </si>
  <si>
    <t>범위</t>
  </si>
  <si>
    <t>A. Q2 2026 Clinical Trials Appendix</t>
  </si>
  <si>
    <t>2026-07-24</t>
  </si>
  <si>
    <t>글로벌 프로토콜 단위 (발표 2026-08-05), p.12–23</t>
  </si>
  <si>
    <t>B. nedrug 임상시험정보검색</t>
  </si>
  <si>
    <t>2026-10-13</t>
  </si>
  <si>
    <t>의뢰자 = 비원메디슨코리아 유한회사, 국내 승인 2023-11-23 ~ 2026-10-02</t>
  </si>
  <si>
    <t>C. nedrug 의약품등제품정보목록</t>
  </si>
  <si>
    <t>업체 = 비원메디슨코리아(유)</t>
  </si>
  <si>
    <t>D. Global clinical development pipeline</t>
  </si>
  <si>
    <t>2026-08-03</t>
  </si>
  <si>
    <t>판정 시 '8월 파이프라인 표기' 참고용</t>
  </si>
  <si>
    <t>2. 집계 (수식)</t>
  </si>
  <si>
    <t>nedrug 국내 시험 수</t>
  </si>
  <si>
    <t>B 파일 전체</t>
  </si>
  <si>
    <t xml:space="preserve">  └ 진행 중</t>
  </si>
  <si>
    <t>모집중 + 승인완료(모집 전) + 모집완료</t>
  </si>
  <si>
    <t xml:space="preserve">  └ 종료</t>
  </si>
  <si>
    <t>Appendix 프로토콜과 1:1 매칭</t>
  </si>
  <si>
    <t>Appendix 미수록</t>
  </si>
  <si>
    <t>신규 2상 1건 + 파이프라인에서 제외된 종료 과제</t>
  </si>
  <si>
    <t>확인 필요</t>
  </si>
  <si>
    <t>BG-C477 신규 2상 / BG-C137 국내만 종료</t>
  </si>
  <si>
    <t>진행 중 3상</t>
  </si>
  <si>
    <t>진행 중 2상</t>
  </si>
  <si>
    <t>진행 중 1상</t>
  </si>
  <si>
    <t>진행 중 혈액암</t>
  </si>
  <si>
    <t>진행 중 고형암</t>
  </si>
  <si>
    <t>2026년 국내 신규 승인</t>
  </si>
  <si>
    <t>국내 승인일 기준</t>
  </si>
  <si>
    <t>국내 실시기관 수 (진행 중 시험, 중복 제거)</t>
  </si>
  <si>
    <t>실시기관 시트</t>
  </si>
  <si>
    <t>국내 실시기관 수 (전체 21건)</t>
  </si>
  <si>
    <t>Appendix 전체 시험 수</t>
  </si>
  <si>
    <t>p.12–22</t>
  </si>
  <si>
    <t xml:space="preserve">  └ 이 중 국내 nedrug 등재</t>
  </si>
  <si>
    <t xml:space="preserve">  └ 진행·유지 중인 시험</t>
  </si>
  <si>
    <t>승인·종료 제외</t>
  </si>
  <si>
    <t>BeOne 국내 판권 보유 제품</t>
  </si>
  <si>
    <t>Global 3 + APAC 1</t>
  </si>
  <si>
    <t xml:space="preserve">  └ 국내 허가</t>
  </si>
  <si>
    <t>브루킨사, 테빔브라, 지헤라</t>
  </si>
  <si>
    <t xml:space="preserve">  └ 국내 미허가</t>
  </si>
  <si>
    <t>BEQALZI (sonrotoclax)</t>
  </si>
  <si>
    <t>3. 핵심 발견</t>
  </si>
  <si>
    <t>매칭률</t>
  </si>
  <si>
    <t>nedrug 21건 중 16건이 Appendix 프로토콜과 1:1로 맞음. 미수록 5건은 신규 2상 1건(BG-C477)과 파이프라인에서 제외된 종료 과제 4건(BGB-53038, BGB-A3055, BG-60366, BGB-A445/LC-203).</t>
  </si>
  <si>
    <t>확인 필요 ① BG-C477 2상</t>
  </si>
  <si>
    <t>2026-10-02 국내 승인. Appendix와 8월 파이프라인에는 BG-C477이 Ph1(101)로만 나옴 → 공시 이후 새로 시작한 2상(CEA 고발현 비편평 NSCLC)으로 보임.</t>
  </si>
  <si>
    <t>확인 필요 ② BG-C137 1상</t>
  </si>
  <si>
    <t>nedrug에는 '종료'로 나오지만 Appendix는 Dose Escalation(진행 중)이고 8월 파이프라인에도 있음 → 한국 사이트만 종료했을 가능성.</t>
  </si>
  <si>
    <t>BEQALZI 국내 미허가</t>
  </si>
  <si>
    <t>글로벌 판권 제품 중 유일한 국내 미허가 품목. 그런데 CELESTIAL 3상 4건(301·302·303·304)에 한국이 모두 참여 중 → 다음 국내 허가 후보.</t>
  </si>
  <si>
    <t>KANDELA-302 최대 규모</t>
  </si>
  <si>
    <t>BGB-43395-302는 국내 실시기관 25곳으로 BeOne 국내 임상 중 가장 큼. 국내 승인(2026-04-09)이 글로벌 'New to pivotal' 공시(2026-08-05)보다 앞섬.</t>
  </si>
  <si>
    <t>핵심 실시기관</t>
  </si>
  <si>
    <t>서울대병원·세브란스병원(각 14건), 분당서울대·삼성서울(각 13건), 서울아산(12건)이 진행 중 15건 대부분에 참여.</t>
  </si>
  <si>
    <t>4. 해석 시 주의</t>
  </si>
  <si>
    <t>• nedrug B 파일에는 2023-11-23 이후 국내 승인 건만 있음. BRUKINSA·TEVIMBRA 허가 근거가 된 이전 시험(ALPINE, RATIONALE 등)은 빠져 있음.</t>
  </si>
  <si>
    <t>• 의뢰자 '비원메디슨코리아' 기준 검색이라, 파트너사가 주도하는 시험(Amgen tarlatamab DeLLphi, Jazz zanidatamab HERIZON)은 목록에 없음. 목록에 없다고 한국 미참여로 단정하면 안 됨.</t>
  </si>
  <si>
    <t>• MOA·치료영역·대상 요약·판정·비고는 원문을 대조해 작성자가 정리한 값임.</t>
  </si>
  <si>
    <t>시트 안내: 시험별비교(21건 1:1 대조) · Appendix전체대조(86건 × 국내 등재) · 제품비교(17종) · 실시기관(기관 × 시험 매트릭스)</t>
  </si>
  <si>
    <t>시험별 1:1 비교 — nedrug 임상시험정보 ↔ Q2 2026 Clinical Trial Appendix</t>
  </si>
  <si>
    <t>nedrug 21건(의뢰자: 비원메디슨코리아 유한회사, 2026-10-13 검색)을 Appendix(As of 2026-07-24) 프로토콜과 대조</t>
  </si>
  <si>
    <t>No</t>
  </si>
  <si>
    <t>국내 상태
(nedrug)</t>
  </si>
  <si>
    <t>진행 구분</t>
  </si>
  <si>
    <t>국내 승인일</t>
  </si>
  <si>
    <t>제품 (nedrug)</t>
  </si>
  <si>
    <t>MOA</t>
  </si>
  <si>
    <t>치료영역</t>
  </si>
  <si>
    <t>단계</t>
  </si>
  <si>
    <t>대상 / 디자인 요약</t>
  </si>
  <si>
    <t>Appendix 프로토콜</t>
  </si>
  <si>
    <t>NCT</t>
  </si>
  <si>
    <t>Appendix 상태</t>
  </si>
  <si>
    <t>8월 파이프라인 표기</t>
  </si>
  <si>
    <t>Appendix 매칭</t>
  </si>
  <si>
    <t>판정</t>
  </si>
  <si>
    <t>비고</t>
  </si>
  <si>
    <t>국내 실시기관 수</t>
  </si>
  <si>
    <t>국내 실시기관 (중복 제거)</t>
  </si>
  <si>
    <t>임상시험 제목 (nedrug 원문)</t>
  </si>
  <si>
    <t>승인완료</t>
  </si>
  <si>
    <t>BG-C477</t>
  </si>
  <si>
    <t>CEA ADC</t>
  </si>
  <si>
    <t>고형암</t>
  </si>
  <si>
    <t>2상</t>
  </si>
  <si>
    <t>기치료 CEA 고발현 비편평 NSCLC (EGFR 변이 없음), 단일군 공개</t>
  </si>
  <si>
    <t>Ph1 101만 표기</t>
  </si>
  <si>
    <t>미수록</t>
  </si>
  <si>
    <t>8월 공시 이후 국내 승인된 신규 2상으로 추정. Q3 공시에 'New to Phase II'로 반영되는지 확인 필요</t>
  </si>
  <si>
    <t>서울대병원, 국립암센터, 서울아산병원, 분당서울대병원, 세브란스병원, 삼성서울병원</t>
  </si>
  <si>
    <t>이전에 치료받았으며 사람 표피 성장 인자 수용체(EGFR) 유전체 변이가 없는 암 배아 항원(CEA) 고발현 비편평 비소세포폐암(NSCLC) 환자를 대상으로 BG-C477 의 유효성 및 안전성을 조사하기 위한 단일군, 공개 제 2 상 임상시험</t>
  </si>
  <si>
    <t>BG-75098, BGB-43395</t>
  </si>
  <si>
    <t>CDK2 CDAC</t>
  </si>
  <si>
    <t>1상</t>
  </si>
  <si>
    <t>진행성 고형암, 단독·병용 1a/1b</t>
  </si>
  <si>
    <t>BG-75098-101</t>
  </si>
  <si>
    <t>NCT07226349</t>
  </si>
  <si>
    <t>Dose Escalation</t>
  </si>
  <si>
    <t>Ph1 101 Solid tumors</t>
  </si>
  <si>
    <t>매칭</t>
  </si>
  <si>
    <t>일치</t>
  </si>
  <si>
    <t>국내는 승인 후 모집 전</t>
  </si>
  <si>
    <t>세브란스병원, 서울아산병원, 삼성서울병원, 국립암센터, 서울대병원</t>
  </si>
  <si>
    <t>진행성 고형 종양 환자를 대상으로 BG-75098 단독요법 및 다른 제제와의 병용요법의 안전성, 내약성, 약동학, 약력학 및 예비 항종양 활성을 평가하는 제1a/1b상 공개 임상시험</t>
  </si>
  <si>
    <t>모집중</t>
  </si>
  <si>
    <t>진행성 고형암, 인간 대상 최초(FIH) 1a/b</t>
  </si>
  <si>
    <t>BG-C477-101</t>
  </si>
  <si>
    <t>NCT06596473</t>
  </si>
  <si>
    <t>글로벌 개시 이후 한국이 늦게 참여</t>
  </si>
  <si>
    <t>서울아산병원, 분당서울대병원, 세브란스병원, 삼성서울병원</t>
  </si>
  <si>
    <t>선정된 진행성 고형 종양이 있는 환자를 대상으로 BG-C477의 안전성, 내약성, 약물동태, 약물동력 및 예비 항종양 활성을 조사하는 다기관, 공개, 제1a/b상, 인간 대상 최초 임상시험</t>
  </si>
  <si>
    <t>BGB-43395</t>
  </si>
  <si>
    <t>CDK4i</t>
  </si>
  <si>
    <t>3상</t>
  </si>
  <si>
    <t>1L HR+/HER2- 진행성·전이성 유방암, +letrozole vs CDK4/6i(abema·palbo·ribo)+letrozole</t>
  </si>
  <si>
    <t>BGB-43395-302 (KANDELA-302)</t>
  </si>
  <si>
    <t>NCT07492641</t>
  </si>
  <si>
    <t>Enrolling</t>
  </si>
  <si>
    <t>Ph3 302 1L HR+/HER2- BC</t>
  </si>
  <si>
    <t>Q2 'New to pivotal' 과제. 국내 25개 기관으로 BeOne 국내 임상 중 최대 규모</t>
  </si>
  <si>
    <t>중앙대병원, 충북대병원, 해운대백병원, 화순전남대병원, 고대안산병원, 계명대동산병원, 이대목동병원, 동아대병원, 분당차병원, 순천향대천안병원, 강남세브란스병원, 인하대병원, 울산대병원, 아주대병원, 성빈센트병원, 고대구로병원, 국립암센터, 서울대병원, 서울성모병원, 고대안암병원, 분당서울대병원, 길병원, 삼성서울병원, 서울아산병원, 세브란스병원</t>
  </si>
  <si>
    <t>진행성 또는 전이성 질병에 대해 이전 전신 항암요법을 받지 않은 진행성 또는 전이성 HR+/HER2- 유방암 환자를 대상으로 BGB-43395 및 레트로졸 병용요법 대 CDK4/6 억제제(아베마시클립, 팔보시클립, 리보시클립) 및 레트로졸 병용요법의 유효성 및 안전성을 조사하는 공개, 무작위배정, 다기관 제3상 임상시험</t>
  </si>
  <si>
    <t>BGB-11417(손로토클락스)</t>
  </si>
  <si>
    <t>BCL2i</t>
  </si>
  <si>
    <t>혈액암</t>
  </si>
  <si>
    <t>TN CLL, sonro+zanu vs ven+acalabrutinib</t>
  </si>
  <si>
    <t>BGB-11417-304 (CELESTIAL-TNCLL2)</t>
  </si>
  <si>
    <t>NCT07277231</t>
  </si>
  <si>
    <t>Ph3 304 TN CLL (vs. AV)</t>
  </si>
  <si>
    <t>분당서울대병원, 서울성모병원, 서울아산병원, 세브란스병원, 서울대병원</t>
  </si>
  <si>
    <t>이전에 치료받지 않은 만성 림프구성 백혈병 환자에서 손로토클락스(BGB-11417) 및 자누브루티닙(BGB-3111)의 병용을 베네토클락스 및 아칼라브루티닙의 병용과 비교하는 제3상, 공개, 무작위배정 시험</t>
  </si>
  <si>
    <t>BG-T187</t>
  </si>
  <si>
    <t>EGFR×MET×MET tsAb</t>
  </si>
  <si>
    <t>진행성 고형암, 단독·병용</t>
  </si>
  <si>
    <t>BG-T187-101</t>
  </si>
  <si>
    <t>NCT06598800</t>
  </si>
  <si>
    <t>nedrug 표기는 'EGFR×MET 삼중 특이성 항체'</t>
  </si>
  <si>
    <t>삼성서울병원, 서울대병원, 서울아산병원, 세브란스병원, 분당서울대병원, 서울성모병원, 성빈센트병원</t>
  </si>
  <si>
    <t>진행성 고형 종양에서 EGFR×MET 삼중 특이성 항체인 BG-T187 단독 요법 및 다른 치료제와 병용 요법의 안전성, 내약성, 약동학 및 예비 항종양 활성을 조사하기 위한 제1상 임상시험</t>
  </si>
  <si>
    <t>티슬렐리주맙(BGB-A317)</t>
  </si>
  <si>
    <t>PD-1 mAb</t>
  </si>
  <si>
    <t>1L 절제불가 국소진행·전이성 위/위식도접합부 선암, SC vs IV + 화학요법</t>
  </si>
  <si>
    <t>BGB-A317-316</t>
  </si>
  <si>
    <t>NCT07043400</t>
  </si>
  <si>
    <t>Ph3 316 SubQ</t>
  </si>
  <si>
    <t>Appendix에는 'SubQ Formulation'으로만 표기됨. 적응증(위암)은 nedrug에서 확인</t>
  </si>
  <si>
    <t>칠곡경북대병원, 삼성서울병원, 서울아산병원, 분당서울대병원, 서울대병원, 세브란스병원</t>
  </si>
  <si>
    <t>절제 불가능한 국소 진행성 또는 전이성, 위 또는 위식도 접합부 선암 환자에 대한 일차 치료로서 화학요법과 병용하여 피하 주사로 투여되는 티슬렐리주맙을 정맥 내 주입 대비 비교하는 제3상, 다기관, 무작위배정, 공개 임상시험</t>
  </si>
  <si>
    <t>BGB-16673</t>
  </si>
  <si>
    <t>BTK CDAC</t>
  </si>
  <si>
    <t>R/R CLL/SLL vs pirtobrutinib</t>
  </si>
  <si>
    <t>BGB-16673-304 (CaDAnCe-304)</t>
  </si>
  <si>
    <t>NCT06973187</t>
  </si>
  <si>
    <t>Ph3 304 R/R CLL (vs. Pirto)</t>
  </si>
  <si>
    <t>경상국립대병원, 분당서울대병원, 부산대병원, 서울성모병원, 서울대병원, 세브란스병원</t>
  </si>
  <si>
    <t>재발성/불응성 만성 림프구성 백혈병 또는 소림프구성 림프종 환자에서 퍼토브루티닙과 비교하여 BGB-16673의 안전성 및 유효성을 평가하는 제3상, 공개, 무작위배정 시험</t>
  </si>
  <si>
    <t>BTKi·BCL2i 모두 경치료한 CLL/SLL vs 연구자 선택(IdelaR / BR / VenR)</t>
  </si>
  <si>
    <t>BGB-16673-302 (CaDAnCe-302)</t>
  </si>
  <si>
    <t>NCT06846671</t>
  </si>
  <si>
    <t>Ph3 302 R/R CLL</t>
  </si>
  <si>
    <t>경상국립대병원, 여의도성모병원, 서울대병원, 경북대병원, 서울성모병원, 삼성서울병원, 화순전남대병원, 동아대병원, 국립암센터</t>
  </si>
  <si>
    <t>이전에 BTK 억제제와 BCL2 억제제에 모두 노출된 만성 림프구성 백혈병 또는 소림프구성 림프종이 있는 환자에서 BGB-16673과 시험자 선택 요법 (이델라리십 + 리툭시맙 또는 벤다무스틴 + 리툭시맙 또는 베네토클락스 + 리툭시맙 재투여)을 비교하는 제3상, 라벨 공개, 무작위 배정 임상시험</t>
  </si>
  <si>
    <t>종료</t>
  </si>
  <si>
    <t>BGB-53038, 티슬렐리주맙(BGB-A317)</t>
  </si>
  <si>
    <t>pan-KRAS 억제제</t>
  </si>
  <si>
    <t>KRAS 변이·증폭 진행성 고형암, 단독·병용 1a/1b</t>
  </si>
  <si>
    <t>미표기</t>
  </si>
  <si>
    <t>정합</t>
  </si>
  <si>
    <t>파이프라인에서 제외된 과제 (국내 종료와 일치)</t>
  </si>
  <si>
    <t>서울대병원, 서울아산병원, 삼성서울병원, 세브란스병원, 분당서울대병원</t>
  </si>
  <si>
    <t>KRAS 돌연변이 또는 증폭이 있는 진행성 또는 전이성 고형 종양이 있는 환자에서 단독 요법 또는 병용 요법으로 범-KRAS 억제제인 BGB-53038의 안전성, 내약성, 약동학, 약력학 및 예비 항종양 활성을 조사하기 위한 제1a/1b상 임상시험</t>
  </si>
  <si>
    <t>R/R CLL/SLL, sonro+anti-CD20 vs VenR</t>
  </si>
  <si>
    <t>BGB-11417-303 (CELESTIAL-RRCLL)</t>
  </si>
  <si>
    <t>NCT06943872</t>
  </si>
  <si>
    <t>Ph3 303 R/R CLL</t>
  </si>
  <si>
    <t>서울대병원, 국립암센터, 분당서울대병원, 부산대병원, 세브란스병원, 서울성모병원, 삼성서울병원</t>
  </si>
  <si>
    <t>재발성/불응성 만성 림프구성 백혈병/소림프구성 림프종 환자에서 손로토클락스 + 항-CD20 항체 요법과 베네토클락스 + 리툭시맙을 비교하는 제3상, 무작위 배정, 라벨 공개, 다기관 임상시험</t>
  </si>
  <si>
    <t>티슬렐리주맙(BGB-A317), BGB-A3055</t>
  </si>
  <si>
    <t>–</t>
  </si>
  <si>
    <t>선별된 진행성·전이성 고형암, 단독·tislelizumab 병용 1a/1b</t>
  </si>
  <si>
    <t>삼성서울병원, 서울아산병원, 분당서울대병원, 서울대병원, 세브란스병원</t>
  </si>
  <si>
    <t>선별된 진행성 또는 전이성 고형 종양이 있는 환자에서 BGB-A3055 단독 요법 및 티슬렐리주맙과 병용 요법의 안전성, 내약성, 약동학, 약력학 및 예비 항종양 활성을 조사하기 위한 제1a/1b상 임상시험</t>
  </si>
  <si>
    <t>BG-60366</t>
  </si>
  <si>
    <t>EGFR CDAC</t>
  </si>
  <si>
    <t>EGFR 변이 NSCLC 1a/1b</t>
  </si>
  <si>
    <t>충북대병원, 삼성서울병원, 서울대병원, 세브란스병원</t>
  </si>
  <si>
    <t>EGFR-돌연변이 비소세포 폐암 환자를 대상으로 EGFR 분해 CDAC인 BG-60366의 안전성, 내약성, 약물동태, 약물동력, 항종양 활성을 조사하는 제1a/1b상 공개 임상시험</t>
  </si>
  <si>
    <t>BG-68501/BGB-43395</t>
  </si>
  <si>
    <t>CDK2i</t>
  </si>
  <si>
    <t>진행성 고형암 1a/1b</t>
  </si>
  <si>
    <t>BG-68501-101</t>
  </si>
  <si>
    <t>NCT06257264</t>
  </si>
  <si>
    <t>Closeout</t>
  </si>
  <si>
    <t>CDK2 전략은 BG-75098(CDK2 CDAC, No.2)로 넘어감</t>
  </si>
  <si>
    <t>국립암센터, 분당서울대병원, 삼성서울병원, 서울아산병원, 세브란스병원, 서울대병원</t>
  </si>
  <si>
    <t>진행성 고형 종양이 있는 참가자 대상의 선택적 CDK2 억제제 BG-68501의 제 1a/1b상 임상시험</t>
  </si>
  <si>
    <t>R/R MCL, sonro+zanu vs 위약+zanu, 이중눈가림</t>
  </si>
  <si>
    <t>BGB-11417-302 (CELESTIAL-RRMCL)</t>
  </si>
  <si>
    <t>NCT06742996</t>
  </si>
  <si>
    <t>Ph3 302 R/R MCL</t>
  </si>
  <si>
    <t>여의도성모병원, 분당서울대병원, 부산대병원, 서울성모병원, 삼성서울병원, 서울아산병원, 세브란스병원, 서울대병원</t>
  </si>
  <si>
    <t>재발성/불응성 외투 세포 림프종 환자를 대상으로 한 손로토클락스+자누브루티닙 대 위약+자누브루티닙의 무작위배정, 이중눈가림, 다기관 제3상 임상시험</t>
  </si>
  <si>
    <t>BGB-58067, 티슬렐리주맙(BGB-A317)</t>
  </si>
  <si>
    <t>MTA-coop PRMT5i</t>
  </si>
  <si>
    <t>진행성 고형암, 단독·항암제 병용 1a/b</t>
  </si>
  <si>
    <t>BGB-58067-101</t>
  </si>
  <si>
    <t>NCT06589596</t>
  </si>
  <si>
    <t>분당서울대병원, 삼성서울병원, 성빈센트병원, 서울대병원, 서울아산병원, 세브란스병원</t>
  </si>
  <si>
    <t>진행성 고형 종양 환자를 대상으로 PRMT5 억제제인 BGB-58067 단독요법 및 항암제와 병용요법의 안전성, 내약성, 약동학, 약력학 및 예비 항종양 활성을 조사하는 제 1a/b 상 시험</t>
  </si>
  <si>
    <t>BG-C137/BGB-A317(티슬렐리주맙)</t>
  </si>
  <si>
    <t>FGFR2b ADC</t>
  </si>
  <si>
    <t>진행성 고형암 1a/b</t>
  </si>
  <si>
    <t>BG-C137-101</t>
  </si>
  <si>
    <t>NCT06625593</t>
  </si>
  <si>
    <t>Ph1 101 Solid tumors (진행 중)</t>
  </si>
  <si>
    <t>글로벌은 진행 중인데 국내는 '종료'. 한국 사이트만 종료(국가 철수)했는지 확인 필요</t>
  </si>
  <si>
    <t>성빈센트병원, 분당차병원, 칠곡경북대병원, 길병원, 강남세브란스병원, 삼성서울병원, 세브란스병원, 서울대병원, 분당서울대병원, 서울아산병원</t>
  </si>
  <si>
    <t>진행성 고형종양 환자에서 FGFR2b를 표적으로 하는 항체-약물 접합체인 BG-C137의 안전성, 내약성, 약동학, 약력학 및 예비 항종양 활성을 조사하기 위한 1a/b상, 공개, 다기관 시험</t>
  </si>
  <si>
    <t>전이성 HR+/HER2- 유방암 및 진행성 고형암, 단독·병용 1a/1b</t>
  </si>
  <si>
    <t>BGB-43395-101</t>
  </si>
  <si>
    <t>NCT06120283</t>
  </si>
  <si>
    <t>Dose Expansion</t>
  </si>
  <si>
    <t>서울대병원, 서울성모병원, 고대안암병원, 분당서울대병원, 길병원, 삼성서울병원, 서울아산병원, 세브란스병원</t>
  </si>
  <si>
    <t>전이성 HR+/HER2- 유방암 및 기타 진행성 고형종양 환자를 대상으로 단독으로 또는 병합요법의 일부로 투여되는 CDK4 억제제 BGB-43395의 안전성과 내약성, 약동학, 약력학, 예비 항종양 활성을 조사하는 제1a/1b상 임상시험</t>
  </si>
  <si>
    <t>BGB-B2033/티슬렐리주맙(BGB-A317)</t>
  </si>
  <si>
    <t>GPC3×4-1BB bsAb</t>
  </si>
  <si>
    <t>선택된 진행성·전이성 고형암, 단독 또는 tislelizumab ± bevacizumab 병용</t>
  </si>
  <si>
    <t>BGB-B2033-101</t>
  </si>
  <si>
    <t>NCT06427941</t>
  </si>
  <si>
    <t>Ph1 101 Solid tumors / Ph2 101 3L+ HCC</t>
  </si>
  <si>
    <t>Appendix 표는 Ph1, 자산 목록은 Ph1/2로 표기</t>
  </si>
  <si>
    <t>서울아산병원, 충북대병원, 삼성서울병원, 분당서울대병원, 서울대병원, 세브란스병원, 분당차병원</t>
  </si>
  <si>
    <t>선택된 특정 진행성 또는 전이성 고형종양 참가자를 대상으로 단독으로 또는 Tislelizumab ± Bevacizumab과의 병합요법으로 투여되는 BGB-B2033의 안전성과 내약성, 약동학, 약력학, 예비 항종양 활성을 조사하는 제1상 임상시험</t>
  </si>
  <si>
    <t>모집완료</t>
  </si>
  <si>
    <t>TN CLL, sonro+zanu vs VenO</t>
  </si>
  <si>
    <t>BGB-11417-301 (CELESTIAL-TNCLL)</t>
  </si>
  <si>
    <t>NCT06073821</t>
  </si>
  <si>
    <t>Maintenance</t>
  </si>
  <si>
    <t>Ph3 301 TN CLL</t>
  </si>
  <si>
    <t>모집 종료 후 추적 단계</t>
  </si>
  <si>
    <t>국립암센터, 분당서울대병원, 부산대병원, 화순전남대병원, 서울성모병원, 삼성서울병원, 서울아산병원, 세브란스병원, 서울대병원</t>
  </si>
  <si>
    <t>이전에 치료받지 않은 만성 림프구성 백혈병 환자를 대상으로 손로토클락스(BGB-11417)와 자누브루티닙(BGB-3111)의 병용요법을 베네토클락스와 오비누투주맙의 병용요법과 비교하는 제3상, 공개, 무작위배정 임상시험</t>
  </si>
  <si>
    <t>BGB-A445, BGB-15025</t>
  </si>
  <si>
    <t>OX40 mAb + HPK1i</t>
  </si>
  <si>
    <t>anti-PD-(L)1 경치료 NSCLC, 무작위 다중군</t>
  </si>
  <si>
    <t>Appendix 미수록. ClinicalTrials.gov 기준 BGB-LC-203 (NCT06029127), Completed</t>
  </si>
  <si>
    <t>분당차병원, 경상국립대병원, 충북대병원, 삼성서울병원, 서울아산병원, 성빈센트병원, 길병원, 서울대병원, 국립암센터, 세브란스병원</t>
  </si>
  <si>
    <t>이전에 항PD-(L)1 항체로 치료받은 비소세포폐암 환자에서 BGB-A445를 임상시험용 제제와 병용하는 제2상, 공개, 무작위배정, 다중군 임상시험</t>
  </si>
  <si>
    <t>판정 기준: nedrug '모집중·승인완료' ↔ Appendix 'Enrolling·Dose Escalation/Expansion', '모집완료' ↔ 'Maintenance', '종료' ↔ 'Closeout' 또는 파이프라인 제외.</t>
  </si>
  <si>
    <t>진행 구분은 국내 상태가 '종료'가 아닌 시험을 '진행중'으로 분류하는 수식임 (모집중·승인완료·모집완료 포함).</t>
  </si>
  <si>
    <t>MOA·치료영역·대상 요약·판정·비고는 nedrug 원문과 Appendix를 대조해 작성자가 정리한 값임. 국내 실시기관 수는 '실시기관' 시트의 수식을 참조함.</t>
  </si>
  <si>
    <t>Source: BeOne_nedrug_20261013_임상시험정보검색.xlsx · Q2_2026_earnings_-_Clinical_Trials_Appendix_-_FINAL.pdf (p.12–22) · BeOne-website-pipeline-Aug-2026.pdf · No.21: clinicaltrials.gov/study/NCT06029127</t>
  </si>
  <si>
    <t>국내 실시기관 × 시험 매트릭스</t>
  </si>
  <si>
    <t>1 = 해당 시험 참여 (nedrug 실시기관, 기관명 표준화·중복 제거). 참여 수는 수식으로 계산</t>
  </si>
  <si>
    <t>시험 No</t>
  </si>
  <si>
    <t>진행중 시험
참여 수</t>
  </si>
  <si>
    <t>전체 시험
참여 수</t>
  </si>
  <si>
    <t>제품</t>
  </si>
  <si>
    <t>서울대병원</t>
  </si>
  <si>
    <t>세브란스병원</t>
  </si>
  <si>
    <t>삼성서울병원</t>
  </si>
  <si>
    <t>분당서울대병원</t>
  </si>
  <si>
    <t>서울아산병원</t>
  </si>
  <si>
    <t>서울성모병원</t>
  </si>
  <si>
    <t>국립암센터</t>
  </si>
  <si>
    <t>부산대병원</t>
  </si>
  <si>
    <t>성빈센트병원</t>
  </si>
  <si>
    <t>화순전남대병원</t>
  </si>
  <si>
    <t>길병원</t>
  </si>
  <si>
    <t>분당차병원</t>
  </si>
  <si>
    <t>충북대병원</t>
  </si>
  <si>
    <t>경상국립대병원</t>
  </si>
  <si>
    <t>고대안암병원</t>
  </si>
  <si>
    <t>동아대병원</t>
  </si>
  <si>
    <t>여의도성모병원</t>
  </si>
  <si>
    <t>강남세브란스병원</t>
  </si>
  <si>
    <t>칠곡경북대병원</t>
  </si>
  <si>
    <t>경북대병원</t>
  </si>
  <si>
    <t>계명대동산병원</t>
  </si>
  <si>
    <t>고대구로병원</t>
  </si>
  <si>
    <t>고대안산병원</t>
  </si>
  <si>
    <t>순천향대천안병원</t>
  </si>
  <si>
    <t>아주대병원</t>
  </si>
  <si>
    <t>울산대병원</t>
  </si>
  <si>
    <t>이대목동병원</t>
  </si>
  <si>
    <t>인하대병원</t>
  </si>
  <si>
    <t>중앙대병원</t>
  </si>
  <si>
    <t>해운대백병원</t>
  </si>
  <si>
    <t>기관 수 (시험별)</t>
  </si>
  <si>
    <t>기관명은 nedrug 원문을 표준화한 것임 (예: '재단법인아산사회복지재단서울아산병원' → 서울아산병원). nedrug 원문에 같은 기관이 두 번 들어간 행(No.6·16·19의 삼성서울병원, No.2의 세브란스병원)은 1회로 셈.</t>
  </si>
  <si>
    <t>파란 칸 = 진행 중 시험 참여, 회색 칸 = 종료 시험 참여.</t>
  </si>
  <si>
    <t>Source: BeOne_nedrug_20261013_임상시험정보검색.xlsx '실시기관' 열</t>
  </si>
  <si>
    <t>Appendix 전체 시험 목록 × 국내 등재 여부</t>
  </si>
  <si>
    <t>Q2 2026 Clinical Trial Appendix p.12–22 (As of 2026-07-24) 전체 시험 86건. 국내 nedrug No가 있으면 국내 상태를 수식으로 불러옴</t>
  </si>
  <si>
    <t>Appendix
페이지</t>
  </si>
  <si>
    <t>자산</t>
  </si>
  <si>
    <t>시험 (프로토콜)</t>
  </si>
  <si>
    <t>별칭</t>
  </si>
  <si>
    <t>대상 (Population)</t>
  </si>
  <si>
    <t>대상자 수</t>
  </si>
  <si>
    <t>대상자 수 비고</t>
  </si>
  <si>
    <t>병용 약물</t>
  </si>
  <si>
    <t>1차 평가변수</t>
  </si>
  <si>
    <t>상태 구분</t>
  </si>
  <si>
    <t>국내 nedrug No</t>
  </si>
  <si>
    <t>국내 상태 (nedrug)</t>
  </si>
  <si>
    <t>Zanubrutinib</t>
  </si>
  <si>
    <t>BTKi</t>
  </si>
  <si>
    <t>BGB-3111-304</t>
  </si>
  <si>
    <t>SEQUOIA</t>
  </si>
  <si>
    <t>Ph3</t>
  </si>
  <si>
    <t>NCT03336333</t>
  </si>
  <si>
    <t>TN CLL/SLL</t>
  </si>
  <si>
    <t>Venetoclax (arm D)</t>
  </si>
  <si>
    <t>PFS</t>
  </si>
  <si>
    <t>Approved / Maint. (arm D)</t>
  </si>
  <si>
    <t>BGB-3111-306</t>
  </si>
  <si>
    <t>MANGROVE</t>
  </si>
  <si>
    <t>NCT04002297</t>
  </si>
  <si>
    <t>TN MCL</t>
  </si>
  <si>
    <t>Rituximab</t>
  </si>
  <si>
    <t>BGB-3111-308</t>
  </si>
  <si>
    <t>MAHOGANY</t>
  </si>
  <si>
    <t>NCT05100862</t>
  </si>
  <si>
    <t>R/R MZL and FL</t>
  </si>
  <si>
    <t>Rituximab, Obinutuzumab</t>
  </si>
  <si>
    <t>BGB-3111-LTE1</t>
  </si>
  <si>
    <t>NCT04170283</t>
  </si>
  <si>
    <t>B-Cell Malignancies</t>
  </si>
  <si>
    <t>TEAEs</t>
  </si>
  <si>
    <t>BGB-3111-114</t>
  </si>
  <si>
    <t>Ph1</t>
  </si>
  <si>
    <t>NCT05767398</t>
  </si>
  <si>
    <t>Healthy volunteers</t>
  </si>
  <si>
    <t>-</t>
  </si>
  <si>
    <t>PK</t>
  </si>
  <si>
    <t>Approved</t>
  </si>
  <si>
    <t>정제 제형. 국내는 80mg 캡슐만 허가됨</t>
  </si>
  <si>
    <t>BGB-3111-206</t>
  </si>
  <si>
    <t>Ph2</t>
  </si>
  <si>
    <t>NCT03206970</t>
  </si>
  <si>
    <t>R/R MCL</t>
  </si>
  <si>
    <t>ORR</t>
  </si>
  <si>
    <t>BGB-3111-212</t>
  </si>
  <si>
    <t>ROSEWOOD</t>
  </si>
  <si>
    <t>NCT03332017</t>
  </si>
  <si>
    <t>R/R FL</t>
  </si>
  <si>
    <t>Obinutuzumab</t>
  </si>
  <si>
    <t>BGB-3111-214</t>
  </si>
  <si>
    <t>MAGNOLIA</t>
  </si>
  <si>
    <t>NCT03846427</t>
  </si>
  <si>
    <t>R/R MZL</t>
  </si>
  <si>
    <t>BGB-3111-302</t>
  </si>
  <si>
    <t>ASPEN</t>
  </si>
  <si>
    <t>NCT03053440</t>
  </si>
  <si>
    <t>TN and R/R WM</t>
  </si>
  <si>
    <t>CR\VGPR</t>
  </si>
  <si>
    <t>BGB-3111-305</t>
  </si>
  <si>
    <t>ALPINE</t>
  </si>
  <si>
    <t>NCT03734016</t>
  </si>
  <si>
    <t>R/R CLL</t>
  </si>
  <si>
    <t>Sonrotoclax</t>
  </si>
  <si>
    <t>BGB-11417-101</t>
  </si>
  <si>
    <t>NCT04277637</t>
  </si>
  <si>
    <t>B-Cell Malignancies &amp; NHL</t>
  </si>
  <si>
    <t>Zanubrutinib, Obinutuzumab</t>
  </si>
  <si>
    <t>TEAEs, MTD</t>
  </si>
  <si>
    <t>BGB-11417-102</t>
  </si>
  <si>
    <t>NCT04883957</t>
  </si>
  <si>
    <t>중국 등록</t>
  </si>
  <si>
    <t>중국 시험</t>
  </si>
  <si>
    <t>BGB-11417-103</t>
  </si>
  <si>
    <t>Ph1/2</t>
  </si>
  <si>
    <t>NCT04771130</t>
  </si>
  <si>
    <t>AML/MDS</t>
  </si>
  <si>
    <t>Azacitidine</t>
  </si>
  <si>
    <t>TEAEs, CR, mOR</t>
  </si>
  <si>
    <t>BGB-11417-105</t>
  </si>
  <si>
    <t>NCT04973605</t>
  </si>
  <si>
    <t>R/R MM with t(11;14)</t>
  </si>
  <si>
    <t>Dexamethasone, Carfilzomib, Daratumumab, Pomalidomide</t>
  </si>
  <si>
    <t>TEAEs, ORR, VGPR, CR</t>
  </si>
  <si>
    <t>BGB-11417-108</t>
  </si>
  <si>
    <t>NCT06697184</t>
  </si>
  <si>
    <t>TLS</t>
  </si>
  <si>
    <t>BGB-11417-203</t>
  </si>
  <si>
    <t>NCT05952037</t>
  </si>
  <si>
    <t>R/R WM</t>
  </si>
  <si>
    <t>MRR</t>
  </si>
  <si>
    <t>BGB-11417-204</t>
  </si>
  <si>
    <t>NCT06637501</t>
  </si>
  <si>
    <t>TN CLL</t>
  </si>
  <si>
    <t>CR/CRi</t>
  </si>
  <si>
    <t>BGB-11417-301</t>
  </si>
  <si>
    <t>CELESTIAL-TNCLL</t>
  </si>
  <si>
    <t>TN CLL/SLL (+Zanu)</t>
  </si>
  <si>
    <t>BGB-11417-302</t>
  </si>
  <si>
    <t>CELESTIAL-RRMCL</t>
  </si>
  <si>
    <t>BGB-11417-303</t>
  </si>
  <si>
    <t>CELESTIAL-RRCLL</t>
  </si>
  <si>
    <t>R/R CLL/SLL</t>
  </si>
  <si>
    <t>Obinutuzumab, Rituximab</t>
  </si>
  <si>
    <t>BGB-11417-304</t>
  </si>
  <si>
    <t>CELESTIAL-TNCLL2</t>
  </si>
  <si>
    <t>TN CLL (vs acala + ven)</t>
  </si>
  <si>
    <t>BGB-11417-201</t>
  </si>
  <si>
    <t>NCT05471843</t>
  </si>
  <si>
    <t>TEAEs, ORR</t>
  </si>
  <si>
    <t>Approved in CN and US; Maintenance ROW</t>
  </si>
  <si>
    <t>BEQALZI 미국·중국 승인 근거. EU 접수(R/R MCL)</t>
  </si>
  <si>
    <t>BGB-11417-202</t>
  </si>
  <si>
    <t>NCT05479994</t>
  </si>
  <si>
    <t>중국 R/R CLL 조건부 승인</t>
  </si>
  <si>
    <t>Tacabrutideg</t>
  </si>
  <si>
    <t>BGB-16673-101</t>
  </si>
  <si>
    <t>CaDAnCe-101</t>
  </si>
  <si>
    <t>NCT05006716</t>
  </si>
  <si>
    <t>BGB-16673-102</t>
  </si>
  <si>
    <t>NCT05294731</t>
  </si>
  <si>
    <t>TEAEs, RP2D, ORR</t>
  </si>
  <si>
    <t>BGB-16673-104</t>
  </si>
  <si>
    <t>CaDAnCe-104</t>
  </si>
  <si>
    <t>NCT06634589</t>
  </si>
  <si>
    <t>Sonrotoclax, Zanubrutinib, Mosunetuzumab, Glofitamab</t>
  </si>
  <si>
    <t>DLTs, TEAEs</t>
  </si>
  <si>
    <t>BGB-16673-302</t>
  </si>
  <si>
    <t>CaDAnCe-302</t>
  </si>
  <si>
    <t>R/R CLL/SLL (vs investigators choice)</t>
  </si>
  <si>
    <t>BGB-16673-303</t>
  </si>
  <si>
    <t>CaDAnCe-303</t>
  </si>
  <si>
    <t>NCT06970743</t>
  </si>
  <si>
    <t>R/R CLL/SLL (CN)</t>
  </si>
  <si>
    <t>BGB-16673-304</t>
  </si>
  <si>
    <t>CaDAnCe-304</t>
  </si>
  <si>
    <t>R/R CLL/SLL (vs pirtobrutinib)</t>
  </si>
  <si>
    <t>BG-75202</t>
  </si>
  <si>
    <t>KAT6A/Bi</t>
  </si>
  <si>
    <t>BGB-75202-102</t>
  </si>
  <si>
    <t>NCT07619287</t>
  </si>
  <si>
    <t>Myeloid malignancies</t>
  </si>
  <si>
    <t>Hypomethylation agent</t>
  </si>
  <si>
    <t>AEs, RDFE, CR/CRh</t>
  </si>
  <si>
    <t>Q2 신규 Ph1 진입</t>
  </si>
  <si>
    <t>Blinatumomab (BLINCYTO)</t>
  </si>
  <si>
    <t>CD19×CD3 BiTE</t>
  </si>
  <si>
    <t>BLINCYTO 20180257</t>
  </si>
  <si>
    <t>NCT04521231</t>
  </si>
  <si>
    <t>R/R and MRD+ B-ALL</t>
  </si>
  <si>
    <t>BeOne 지역 포함 전체 계획 등록</t>
  </si>
  <si>
    <t>CR/CRh, CR, MRD</t>
  </si>
  <si>
    <t>Amgen 협력 (BeOne 판권 중국)</t>
  </si>
  <si>
    <t>BLINCYTO 20190359</t>
  </si>
  <si>
    <t>NCT06054113</t>
  </si>
  <si>
    <t>Pediatric R/R B-ALL</t>
  </si>
  <si>
    <t>CR/CRh</t>
  </si>
  <si>
    <t>Tislelizumab</t>
  </si>
  <si>
    <t>BGB-A317-103</t>
  </si>
  <si>
    <t>NCT06091943</t>
  </si>
  <si>
    <t>SubQ Formulation</t>
  </si>
  <si>
    <t>Bioavailability and Safety</t>
  </si>
  <si>
    <t>BGB-HNSCC-201</t>
  </si>
  <si>
    <t>NCT05909904</t>
  </si>
  <si>
    <t>1L HNSCC</t>
  </si>
  <si>
    <t>LAG3, TIM3</t>
  </si>
  <si>
    <t>BGB-LC-201</t>
  </si>
  <si>
    <t>NCT05635708</t>
  </si>
  <si>
    <t>1L NSCLC</t>
  </si>
  <si>
    <t>LAG3, OX40, HPK1, Chemotherapy</t>
  </si>
  <si>
    <t>nedrug No.21(BGB-LC-203, PD-(L)1 경치료 NSCLC)과는 다른 시험</t>
  </si>
  <si>
    <t>BGB-A317-217</t>
  </si>
  <si>
    <t>NCT07554521</t>
  </si>
  <si>
    <t>1L GC &amp; ESCC</t>
  </si>
  <si>
    <t>Chemotherapy</t>
  </si>
  <si>
    <t>AEs, SAEs</t>
  </si>
  <si>
    <t>국내 적응증: 1L 위/위식도접합부 선암</t>
  </si>
  <si>
    <t>BGB-A317-310</t>
  </si>
  <si>
    <t>RATIONALE-310</t>
  </si>
  <si>
    <t>NCT03967977</t>
  </si>
  <si>
    <t>1L UBC</t>
  </si>
  <si>
    <t>OS (ITT)</t>
  </si>
  <si>
    <t>BGB-A317-204</t>
  </si>
  <si>
    <t>NCT04004221</t>
  </si>
  <si>
    <t>2L UC</t>
  </si>
  <si>
    <t>Approved (CN only)</t>
  </si>
  <si>
    <t>BGB-A317-312</t>
  </si>
  <si>
    <t>RATIONALE-312</t>
  </si>
  <si>
    <t>NCT04005716</t>
  </si>
  <si>
    <t>1L ES-SCLC</t>
  </si>
  <si>
    <t>OS</t>
  </si>
  <si>
    <t>BGB-A317-315</t>
  </si>
  <si>
    <t>RATIONALE-315</t>
  </si>
  <si>
    <t>NCT04379635</t>
  </si>
  <si>
    <t>Neo/adj NSCLC</t>
  </si>
  <si>
    <t>MPR, EFS</t>
  </si>
  <si>
    <t>BGB-A317-208</t>
  </si>
  <si>
    <t>NCT03419897</t>
  </si>
  <si>
    <t>2L+ HCC</t>
  </si>
  <si>
    <t>BGB-A317-209</t>
  </si>
  <si>
    <t>NCT03736889</t>
  </si>
  <si>
    <t>Late Line MSI-H or dMMR Solid Tumors</t>
  </si>
  <si>
    <t>BGB-A317-301</t>
  </si>
  <si>
    <t>RATIONALE-301</t>
  </si>
  <si>
    <t>NCT03412773</t>
  </si>
  <si>
    <t>1L HCC</t>
  </si>
  <si>
    <t>BGB-A317-302</t>
  </si>
  <si>
    <t>RATIONALE-302</t>
  </si>
  <si>
    <t>NCT03430843</t>
  </si>
  <si>
    <t>2L ESCC</t>
  </si>
  <si>
    <t>BGB-A317-303</t>
  </si>
  <si>
    <t>RATIONALE-303</t>
  </si>
  <si>
    <t>NCT03358875</t>
  </si>
  <si>
    <t>2/3L NSCLC</t>
  </si>
  <si>
    <t>OS (PDL1+), OS</t>
  </si>
  <si>
    <t>BGB-A317-304</t>
  </si>
  <si>
    <t>RATIONALE-304</t>
  </si>
  <si>
    <t>NCT03663205</t>
  </si>
  <si>
    <t>1L Non-sq. NSCLC</t>
  </si>
  <si>
    <t>BGB-A317-305</t>
  </si>
  <si>
    <t>RATIONALE-305</t>
  </si>
  <si>
    <t>NCT03777657</t>
  </si>
  <si>
    <t>1L GC</t>
  </si>
  <si>
    <t>BGB-A317-306</t>
  </si>
  <si>
    <t>RATIONALE-306</t>
  </si>
  <si>
    <t>NCT03783442</t>
  </si>
  <si>
    <t>1L ESCC</t>
  </si>
  <si>
    <t>BGB-A317-307</t>
  </si>
  <si>
    <t>RATIONALE-307</t>
  </si>
  <si>
    <t>NCT03594747</t>
  </si>
  <si>
    <t>1L Sq. NSCLC</t>
  </si>
  <si>
    <t>BGB-A317-309</t>
  </si>
  <si>
    <t>RATIONALE-309</t>
  </si>
  <si>
    <t>NCT03924986</t>
  </si>
  <si>
    <t>1L NPC</t>
  </si>
  <si>
    <t>BGB-B455</t>
  </si>
  <si>
    <t>Claudin 6×CD3 bsAb</t>
  </si>
  <si>
    <t>BGB-B455-101</t>
  </si>
  <si>
    <t>NCT06803680</t>
  </si>
  <si>
    <t>Solid Tumors</t>
  </si>
  <si>
    <t>AE, SAE, DLT, MTD, RDFE, RP2D, ORR</t>
  </si>
  <si>
    <t>BGB-58067</t>
  </si>
  <si>
    <t>AE, SAE, DLT, MTD, RDFE, ORR</t>
  </si>
  <si>
    <t>BG-C0902</t>
  </si>
  <si>
    <t>EGFR×MET×MET tsADC</t>
  </si>
  <si>
    <t>BG-C0902-101</t>
  </si>
  <si>
    <t>NCT07181681</t>
  </si>
  <si>
    <t>BON-110</t>
  </si>
  <si>
    <t>PD-1×VEGFA×CTLA4 tsAb</t>
  </si>
  <si>
    <t>BON-110-101</t>
  </si>
  <si>
    <t>NCT07623369</t>
  </si>
  <si>
    <t>SAE, TEAE, DLT, MTD</t>
  </si>
  <si>
    <t>Huahui Health 협력. Q2 신규 Ph1 진입</t>
  </si>
  <si>
    <t>BGB-21447</t>
  </si>
  <si>
    <t>BGB-21447-102</t>
  </si>
  <si>
    <t>NCT06756932</t>
  </si>
  <si>
    <t>2L+ HR+/HER2- BC</t>
  </si>
  <si>
    <t>BGB-43395 ± Fulvestrant</t>
  </si>
  <si>
    <t>BG-75098</t>
  </si>
  <si>
    <t>BGB-43395, Fulvestrant</t>
  </si>
  <si>
    <t>AE, SAE, RDFE, ORR</t>
  </si>
  <si>
    <t>BG-75202-101</t>
  </si>
  <si>
    <t>NCT07222267</t>
  </si>
  <si>
    <t>Estrogen receptor antagonist, CDK4i, aromatase inhibitor</t>
  </si>
  <si>
    <t>AE, SAE, MTD, RDFE, ORR</t>
  </si>
  <si>
    <t>BG-C137</t>
  </si>
  <si>
    <t>글로벌 진행 중 / 국내 종료 → 확인 필요</t>
  </si>
  <si>
    <t>국내 2상(No.1)은 Appendix 미수록</t>
  </si>
  <si>
    <t>BG-C0979</t>
  </si>
  <si>
    <t>ADAM9 ADC</t>
  </si>
  <si>
    <t>BG-C0979-101</t>
  </si>
  <si>
    <t>NCT07414836</t>
  </si>
  <si>
    <t>BGB-B2033</t>
  </si>
  <si>
    <t>AE, SAE, DLT, MTD, RP2D</t>
  </si>
  <si>
    <t>BC and Solid Tumors</t>
  </si>
  <si>
    <t>Fulvestrant, Letrozole</t>
  </si>
  <si>
    <t>BG-C9074</t>
  </si>
  <si>
    <t>B7-H4 ADC</t>
  </si>
  <si>
    <t>BG-C9074-101</t>
  </si>
  <si>
    <t>NCT06233942</t>
  </si>
  <si>
    <t>TEAE, SAE, DLT, MTD, RDFE, ORR, RP2D</t>
  </si>
  <si>
    <t>DualityBio 협력</t>
  </si>
  <si>
    <t>BGB-26808</t>
  </si>
  <si>
    <t>HPK1i</t>
  </si>
  <si>
    <t>BGB-A317-26808-101</t>
  </si>
  <si>
    <t>NCT05981703</t>
  </si>
  <si>
    <t>Tarlatamab</t>
  </si>
  <si>
    <t>DLL3×CD3 BiTE (SubQ)</t>
  </si>
  <si>
    <t>AMG 757 20230298</t>
  </si>
  <si>
    <t>DeLLphi-308</t>
  </si>
  <si>
    <t>NCT06598306</t>
  </si>
  <si>
    <t>2L+ SCLC</t>
  </si>
  <si>
    <t>DLTs, SAEs, TEAEs</t>
  </si>
  <si>
    <t>Amgen 주도 → nedrug 검색 조건(의뢰자 BeOne)에서 빠짐</t>
  </si>
  <si>
    <t>기타</t>
  </si>
  <si>
    <t>Xaluritamig</t>
  </si>
  <si>
    <t>STEAP1×CD3 BiTE</t>
  </si>
  <si>
    <t>AMG 509 20180146</t>
  </si>
  <si>
    <t>NCT04221542</t>
  </si>
  <si>
    <t>mCRPC</t>
  </si>
  <si>
    <t>TEAEs, DLTs</t>
  </si>
  <si>
    <t>Amgen 주도 (중국 시험)</t>
  </si>
  <si>
    <t>DLL3×CD3 BiTE (+B7-H3)</t>
  </si>
  <si>
    <t>AMG 757 20240124</t>
  </si>
  <si>
    <t>DeLLphi-310</t>
  </si>
  <si>
    <t>NCT06898957</t>
  </si>
  <si>
    <t>YL201</t>
  </si>
  <si>
    <t>Amgen 주도</t>
  </si>
  <si>
    <t>BG-68501</t>
  </si>
  <si>
    <t>DLL3×CD3 BiTE</t>
  </si>
  <si>
    <t>AMG 757 20240092</t>
  </si>
  <si>
    <t>DeLLphi-309 (Alt dosing)</t>
  </si>
  <si>
    <t>NCT06745323</t>
  </si>
  <si>
    <t>2L SCLC</t>
  </si>
  <si>
    <t>계획 등록, BeOne 지역 포함</t>
  </si>
  <si>
    <t>BGB-A445</t>
  </si>
  <si>
    <t>OX40 mAb</t>
  </si>
  <si>
    <t>BGB-A317-A445-201</t>
  </si>
  <si>
    <t>NCT05661955</t>
  </si>
  <si>
    <t>Melanoma, UC</t>
  </si>
  <si>
    <t>nedrug No.21(BGB-A445 NSCLC)과는 다른 시험</t>
  </si>
  <si>
    <t>BGB-LBL-007</t>
  </si>
  <si>
    <t>LAG3 mAb</t>
  </si>
  <si>
    <t>BGB-LBL-007-201</t>
  </si>
  <si>
    <t>NCT05609370</t>
  </si>
  <si>
    <t>MSS-CRC</t>
  </si>
  <si>
    <t>Tislelizumab, Chemotherapy, Bevacizumab</t>
  </si>
  <si>
    <t>PFS, AE, SAE</t>
  </si>
  <si>
    <t>BGB-LBL-007-202</t>
  </si>
  <si>
    <t>NCT06010303</t>
  </si>
  <si>
    <t>Tislelizumab, Chemotherapy</t>
  </si>
  <si>
    <t>AMG 757 20230273</t>
  </si>
  <si>
    <t>DeLLphi-307</t>
  </si>
  <si>
    <t>NCT06502977</t>
  </si>
  <si>
    <t>3L+ ES-SCLC</t>
  </si>
  <si>
    <t>Zanidatamab</t>
  </si>
  <si>
    <t>HER2 bsAb</t>
  </si>
  <si>
    <t>ZWI-ZW25-203</t>
  </si>
  <si>
    <t>HERIZON-BTC-01</t>
  </si>
  <si>
    <t>NCT04466891</t>
  </si>
  <si>
    <t>2L+ BTC</t>
  </si>
  <si>
    <t>국내 ZIIHERA 허가(2026-03-19)의 근거 시험으로 추정</t>
  </si>
  <si>
    <t>BGB-43395-302</t>
  </si>
  <si>
    <t>KANDELA-302</t>
  </si>
  <si>
    <t>1L HR+/HER2- BC</t>
  </si>
  <si>
    <t>Letrozole</t>
  </si>
  <si>
    <t>Q2 신규 pivotal 진입</t>
  </si>
  <si>
    <t>AMG 757 20240178</t>
  </si>
  <si>
    <t>DeLLphi-312</t>
  </si>
  <si>
    <t>NCT07005128</t>
  </si>
  <si>
    <t>Durvalumab+chemo (induction); Durvalumab (maintenance)</t>
  </si>
  <si>
    <t>PFS, OS</t>
  </si>
  <si>
    <t>JZP598-302</t>
  </si>
  <si>
    <t>HERIZON-BTC-302</t>
  </si>
  <si>
    <t>NCT06282575</t>
  </si>
  <si>
    <t>1L BTC</t>
  </si>
  <si>
    <t>BeOne 담당 중국 등록분</t>
  </si>
  <si>
    <t>Chemo ± Pembrolizumab/Durvalumab</t>
  </si>
  <si>
    <t>Jazz 주도</t>
  </si>
  <si>
    <t>ZWI-ZW25-301</t>
  </si>
  <si>
    <t>HERIZON-GEA-01</t>
  </si>
  <si>
    <t>NCT05152147</t>
  </si>
  <si>
    <t>1L HER2+ GEA</t>
  </si>
  <si>
    <t>BeOne 지역만</t>
  </si>
  <si>
    <t>Chemo ± Tislelizumab</t>
  </si>
  <si>
    <t>미국·중국 허가 접수. 국내 적응증 확대 후보</t>
  </si>
  <si>
    <t>AMG 757 20200041</t>
  </si>
  <si>
    <t>DeLLphi-305 (Maintenance)</t>
  </si>
  <si>
    <t>NCT06211036</t>
  </si>
  <si>
    <t>Durvalumab (maintenance)</t>
  </si>
  <si>
    <t>AMG 757 20210004</t>
  </si>
  <si>
    <t>DeLLphi-304</t>
  </si>
  <si>
    <t>NCT05740566</t>
  </si>
  <si>
    <t>AMG 757 20230016</t>
  </si>
  <si>
    <t>DeLLphi-306</t>
  </si>
  <si>
    <t>NCT06117774</t>
  </si>
  <si>
    <t>LS-SCLC</t>
  </si>
  <si>
    <t>I&amp;I</t>
  </si>
  <si>
    <t>BG-A3004</t>
  </si>
  <si>
    <t>KLRG1 mAb</t>
  </si>
  <si>
    <t>BG-A3004-101</t>
  </si>
  <si>
    <t>NCT07412691</t>
  </si>
  <si>
    <t>Healthy participants and patients with immune-mediated skin diseases</t>
  </si>
  <si>
    <t>Incidence and severity of TEAEs and SAEs</t>
  </si>
  <si>
    <t>BGB-16673-107</t>
  </si>
  <si>
    <t>NCT07005713</t>
  </si>
  <si>
    <t>Chronic spontaneous urticaria (CSU)</t>
  </si>
  <si>
    <t>Incidence and severity of TEAEs</t>
  </si>
  <si>
    <t>BGB-3111-309</t>
  </si>
  <si>
    <t>Ph2/3</t>
  </si>
  <si>
    <t>NCT05707377</t>
  </si>
  <si>
    <t>Primary Membranous Nephropathy</t>
  </si>
  <si>
    <t>Urine Protein Creatinine Ratio, Complete Remission</t>
  </si>
  <si>
    <t>상태 구분(수식): Approved 포함 → 승인 / Closeout → 종료 / Maintenance → 유지(모집 종료 후 추적) / 그 외(Enrolling, Dose Escalation·Expansion) → 진행.</t>
  </si>
  <si>
    <t>파란 행 = nedrug 국내 등재 시험. 국내 상태는 '시험별비교' 시트에서 INDEX/MATCH로 불러옴.</t>
  </si>
  <si>
    <t>nedrug 검색은 의뢰자 '비원메디슨코리아' 기준이라, 파트너사가 주도하는 시험(Amgen tarlatamab, Jazz zanidatamab)은 국내에서 진행 중이어도 이 목록에 잡히지 않음.</t>
  </si>
  <si>
    <t>대상자 수: 진행 중 시험은 계획 등록 수, 유지·종료·승인 시험은 실제 등록 수 (Appendix 각주 1).</t>
  </si>
  <si>
    <t>Source: Q2_2026_earnings_-_Clinical_Trials_Appendix_-_FINAL.pdf p.12–22 (As of 24 Jul 2026)</t>
  </si>
  <si>
    <t>상업화 제품 비교 — Appendix 'Commercial' 목록 ↔ nedrug 의약품등제품정보</t>
  </si>
  <si>
    <t>BeOne 상업화 제품 17종의 판권과 국내 허가 현황 (nedrug 2026-10-13 검색, 업체: 비원메디슨코리아(유))</t>
  </si>
  <si>
    <t>제품 (Appendix)</t>
  </si>
  <si>
    <t>성분</t>
  </si>
  <si>
    <t>BeOne 판권</t>
  </si>
  <si>
    <t>파트너</t>
  </si>
  <si>
    <t>국내 판권 보유</t>
  </si>
  <si>
    <t>국내 허가 여부</t>
  </si>
  <si>
    <t>국내 제품명 (nedrug)</t>
  </si>
  <si>
    <t>허가일</t>
  </si>
  <si>
    <t>품목기준코드</t>
  </si>
  <si>
    <t>품목구분</t>
  </si>
  <si>
    <t>전문/희귀</t>
  </si>
  <si>
    <t>제조/수입</t>
  </si>
  <si>
    <t>수입제조국</t>
  </si>
  <si>
    <t>ATC코드</t>
  </si>
  <si>
    <t>신약구분</t>
  </si>
  <si>
    <t>BRUKINSA®</t>
  </si>
  <si>
    <t>zanubrutinib</t>
  </si>
  <si>
    <t>Global</t>
  </si>
  <si>
    <t>브루킨사캡슐80밀리그램(자누브루티닙)</t>
  </si>
  <si>
    <t>202200854</t>
  </si>
  <si>
    <t>의약품</t>
  </si>
  <si>
    <t>전문의약품</t>
  </si>
  <si>
    <t>수입</t>
  </si>
  <si>
    <t>미국</t>
  </si>
  <si>
    <t>L01EL03</t>
  </si>
  <si>
    <t>Y</t>
  </si>
  <si>
    <t>정제(BGB-3111-114: 주요국 승인, 일본 접수)는 국내 미허가 → 제형 추가(LCM) 과제</t>
  </si>
  <si>
    <t>TEVIMBRA®</t>
  </si>
  <si>
    <t>tislelizumab</t>
  </si>
  <si>
    <t>테빔브라주(티슬렐리주맙)</t>
  </si>
  <si>
    <t>202303165</t>
  </si>
  <si>
    <t>생물의약품</t>
  </si>
  <si>
    <t>중국,아일랜드</t>
  </si>
  <si>
    <t>L01FF09</t>
  </si>
  <si>
    <t>SC 제형 3상(BGB-A317-316)에 한국 참여 중 → 향후 SC 제형 허가 가능</t>
  </si>
  <si>
    <t>BEQALZI™</t>
  </si>
  <si>
    <t>sonrotoclax</t>
  </si>
  <si>
    <t>미국(R/R MCL)·중국(R/R MCL·CLL) 승인, EU(R/R MCL) 접수. 국내 3상 4건 진행 중 → 다음 국내 허가 후보</t>
  </si>
  <si>
    <t>ZIIHERA®</t>
  </si>
  <si>
    <t>zanidatamab</t>
  </si>
  <si>
    <t>APAC (일본·인도 제외)</t>
  </si>
  <si>
    <t>Zymeworks / Jazz</t>
  </si>
  <si>
    <t>지헤라주300mg(자니다타맙)</t>
  </si>
  <si>
    <t>202600793</t>
  </si>
  <si>
    <t>전문의약품(희귀)</t>
  </si>
  <si>
    <t>중국</t>
  </si>
  <si>
    <t>L01FD07</t>
  </si>
  <si>
    <t>N</t>
  </si>
  <si>
    <t>근거 시험은 HERIZON-BTC-01(2L+ BTC)로 추정. 1L HER2+ GEA(ZW25-301)는 미국·중국 접수 → 국내 적응증 확대 후보</t>
  </si>
  <si>
    <t>IMDELLTRA®</t>
  </si>
  <si>
    <t>tarlatamab</t>
  </si>
  <si>
    <t>China</t>
  </si>
  <si>
    <t>Amgen</t>
  </si>
  <si>
    <t>BeOne 판권은 중국 한정 → 국내 해당 없음</t>
  </si>
  <si>
    <t>XGEVA®</t>
  </si>
  <si>
    <t>denosumab</t>
  </si>
  <si>
    <t>RANKL mAb</t>
  </si>
  <si>
    <t>BLINCYTO®</t>
  </si>
  <si>
    <t>blinatumomab</t>
  </si>
  <si>
    <t>KYPROLIS®</t>
  </si>
  <si>
    <t>carfilzomib</t>
  </si>
  <si>
    <t>Proteasome inhibitor</t>
  </si>
  <si>
    <t>SYLVANT®</t>
  </si>
  <si>
    <t>siltuximab</t>
  </si>
  <si>
    <t>IL-6 mAb</t>
  </si>
  <si>
    <t>Recordati</t>
  </si>
  <si>
    <t>QARZIBA®</t>
  </si>
  <si>
    <t>dinutuximab beta</t>
  </si>
  <si>
    <t>GD2 mAb</t>
  </si>
  <si>
    <t>TAFINLAR®</t>
  </si>
  <si>
    <t>dabrafenib</t>
  </si>
  <si>
    <t>BRAFi</t>
  </si>
  <si>
    <t>Novartis</t>
  </si>
  <si>
    <t>MEKINIST®</t>
  </si>
  <si>
    <t>trametinib</t>
  </si>
  <si>
    <t>MEKi</t>
  </si>
  <si>
    <t>VOTRIENT®</t>
  </si>
  <si>
    <t>pazopanib</t>
  </si>
  <si>
    <t>VEGFR TKI</t>
  </si>
  <si>
    <t>AFINITOR®</t>
  </si>
  <si>
    <t>everolimus</t>
  </si>
  <si>
    <t>mTORi</t>
  </si>
  <si>
    <t>ZYKADIA®</t>
  </si>
  <si>
    <t>ceritinib</t>
  </si>
  <si>
    <t>ALKi</t>
  </si>
  <si>
    <t>POBEVCY®</t>
  </si>
  <si>
    <t>bevacizumab biosimilar</t>
  </si>
  <si>
    <t>VEGF mAb</t>
  </si>
  <si>
    <t>Bio-Thera</t>
  </si>
  <si>
    <t>BAITUOWEI®</t>
  </si>
  <si>
    <t>goserelin microspheres</t>
  </si>
  <si>
    <t>GnRH agonist</t>
  </si>
  <si>
    <t>Luye Pharma</t>
  </si>
  <si>
    <t>국내 판권 보유(수식): BeOne 판권이 'China'가 아니면 Y. 국내 허가 여부(수식): 판권 없음 → 해당 없음 / nedrug 제품명이 있으면 허가 / 없으면 미허가.</t>
  </si>
  <si>
    <t>MOA는 작성자가 보충한 값임 (Appendix 'Commercial' 목록에는 MOA가 없음). BEQALZI 승인 현황은 Appendix p.23 각주 3과 8월 파이프라인 'Accepted submissions'에서 가져옴.</t>
  </si>
  <si>
    <t>Source: Q2_2026_earnings_-_Clinical_Trials_Appendix_-_FINAL.pdf p.23 · BeOne_nedrug_20261013_의약품등제품정보목록.xlsx · BeOne-website-pipeline-Aug-2026.pdf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</si>
</sst>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9" x14ac:knownFonts="1">
    <font>
      <sz val="11"/>
      <color theme="1"/>
      <name val="맑은 고딕"/>
      <family val="2"/>
      <scheme val="minor"/>
    </font>
    <font>
      <b/>
      <sz val="16"/>
      <color rgb="FF273147"/>
      <name val="맑은 고딕"/>
      <family val="3"/>
      <charset val="129"/>
    </font>
    <font>
      <sz val="10"/>
      <color rgb="FF5D667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color rgb="FF5D6676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147"/>
      </patternFill>
    </fill>
    <fill>
      <patternFill patternType="solid">
        <fgColor rgb="FFE4E8F0"/>
      </patternFill>
    </fill>
  </fills>
  <borders count="4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  <border>
      <left style="thin">
        <color rgb="FFC9CED8"/>
      </left>
      <right style="thin">
        <color rgb="FFC9CED8"/>
      </right>
      <top/>
      <bottom/>
      <diagonal/>
    </border>
    <border>
      <left style="thin">
        <color rgb="FFC9CED8"/>
      </left>
      <right style="thin">
        <color rgb="FFC9CED8"/>
      </right>
      <top/>
      <bottom style="thin">
        <color rgb="FFC9CED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3" fillId="2" borderId="0" xfId="0" applyFont="1" applyFill="1"/>
    <xf numFmtId="0" fontId="7" fillId="2" borderId="0" xfId="0" applyFont="1" applyFill="1"/>
    <xf numFmtId="0" fontId="6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77" fontId="4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</cellXfs>
  <cellStyles count="1">
    <cellStyle name="표준" xfId="0" builtinId="0"/>
  </cellStyles>
  <dxfs count="8">
    <dxf>
      <font>
        <color rgb="FF8A909B"/>
        <name val="맑은 고딕"/>
      </font>
    </dxf>
    <dxf>
      <fill>
        <patternFill patternType="solid">
          <fgColor rgb="FFE6F4EA"/>
        </patternFill>
      </fill>
    </dxf>
    <dxf>
      <fill>
        <patternFill patternType="solid">
          <fgColor rgb="FFFFF1DC"/>
        </patternFill>
      </fill>
    </dxf>
    <dxf>
      <fill>
        <patternFill patternType="solid">
          <fgColor rgb="FFE4EEFB"/>
        </patternFill>
      </fill>
    </dxf>
    <dxf>
      <fill>
        <patternFill patternType="solid">
          <fgColor rgb="FFF0F1F4"/>
        </patternFill>
      </fill>
    </dxf>
    <dxf>
      <fill>
        <patternFill patternType="solid">
          <fgColor rgb="FFC9D6EE"/>
        </patternFill>
      </fill>
    </dxf>
    <dxf>
      <fill>
        <patternFill patternType="solid">
          <fgColor rgb="FFF0F1F4"/>
        </patternFill>
      </fill>
    </dxf>
    <dxf>
      <fill>
        <patternFill patternType="solid">
          <fgColor rgb="FFFFF1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6"/>
  <sheetViews>
    <sheetView showGridLines="0" tabSelected="1" workbookViewId="0"/>
  </sheetViews>
  <sheetFormatPr defaultRowHeight="17" x14ac:dyDescent="0.45"/>
  <cols>
    <col min="1" max="1" width="34" customWidth="1"/>
    <col min="2" max="2" width="14" customWidth="1"/>
    <col min="3" max="3" width="70" customWidth="1"/>
  </cols>
  <sheetData>
    <row r="1" spans="1:3" ht="25.5" x14ac:dyDescent="0.7">
      <c r="A1" s="1" t="s">
        <v>0</v>
      </c>
      <c r="B1" s="2"/>
      <c r="C1" s="2"/>
    </row>
    <row r="2" spans="1:3" x14ac:dyDescent="0.45">
      <c r="A2" s="3" t="s">
        <v>1</v>
      </c>
      <c r="B2" s="2"/>
      <c r="C2" s="2"/>
    </row>
    <row r="3" spans="1:3" x14ac:dyDescent="0.45">
      <c r="A3" s="2"/>
      <c r="B3" s="2"/>
      <c r="C3" s="2"/>
    </row>
    <row r="4" spans="1:3" x14ac:dyDescent="0.45">
      <c r="A4" s="4" t="s">
        <v>2</v>
      </c>
      <c r="B4" s="5"/>
      <c r="C4" s="5"/>
    </row>
    <row r="5" spans="1:3" x14ac:dyDescent="0.45">
      <c r="A5" s="6" t="s">
        <v>3</v>
      </c>
      <c r="B5" s="6" t="s">
        <v>4</v>
      </c>
      <c r="C5" s="6" t="s">
        <v>5</v>
      </c>
    </row>
    <row r="6" spans="1:3" x14ac:dyDescent="0.45">
      <c r="A6" s="7" t="s">
        <v>6</v>
      </c>
      <c r="B6" s="7" t="s">
        <v>7</v>
      </c>
      <c r="C6" s="7" t="s">
        <v>8</v>
      </c>
    </row>
    <row r="7" spans="1:3" x14ac:dyDescent="0.45">
      <c r="A7" s="7" t="s">
        <v>9</v>
      </c>
      <c r="B7" s="7" t="s">
        <v>10</v>
      </c>
      <c r="C7" s="7" t="s">
        <v>11</v>
      </c>
    </row>
    <row r="8" spans="1:3" x14ac:dyDescent="0.45">
      <c r="A8" s="7" t="s">
        <v>12</v>
      </c>
      <c r="B8" s="7" t="s">
        <v>10</v>
      </c>
      <c r="C8" s="7" t="s">
        <v>13</v>
      </c>
    </row>
    <row r="9" spans="1:3" x14ac:dyDescent="0.45">
      <c r="A9" s="7" t="s">
        <v>14</v>
      </c>
      <c r="B9" s="7" t="s">
        <v>15</v>
      </c>
      <c r="C9" s="7" t="s">
        <v>16</v>
      </c>
    </row>
    <row r="10" spans="1:3" x14ac:dyDescent="0.45">
      <c r="A10" s="2"/>
      <c r="B10" s="2"/>
      <c r="C10" s="2"/>
    </row>
    <row r="11" spans="1:3" x14ac:dyDescent="0.45">
      <c r="A11" s="4" t="s">
        <v>17</v>
      </c>
      <c r="B11" s="5"/>
      <c r="C11" s="5"/>
    </row>
    <row r="12" spans="1:3" x14ac:dyDescent="0.45">
      <c r="A12" s="8" t="s">
        <v>18</v>
      </c>
      <c r="B12" s="9">
        <f>COUNTA(시험별비교!$A$5:$A$25)</f>
        <v>21</v>
      </c>
      <c r="C12" s="7" t="s">
        <v>19</v>
      </c>
    </row>
    <row r="13" spans="1:3" x14ac:dyDescent="0.45">
      <c r="A13" s="7" t="s">
        <v>20</v>
      </c>
      <c r="B13" s="9">
        <f>COUNTIF(시험별비교!$C$5:$C$25,"진행중")</f>
        <v>15</v>
      </c>
      <c r="C13" s="7" t="s">
        <v>21</v>
      </c>
    </row>
    <row r="14" spans="1:3" x14ac:dyDescent="0.45">
      <c r="A14" s="7" t="s">
        <v>22</v>
      </c>
      <c r="B14" s="9">
        <f>COUNTIF(시험별비교!$C$5:$C$25,"종료")</f>
        <v>6</v>
      </c>
      <c r="C14" s="7"/>
    </row>
    <row r="15" spans="1:3" x14ac:dyDescent="0.45">
      <c r="A15" s="8" t="s">
        <v>23</v>
      </c>
      <c r="B15" s="9">
        <f>COUNTIF(시험별비교!$N$5:$N$25,"매칭")</f>
        <v>16</v>
      </c>
      <c r="C15" s="7"/>
    </row>
    <row r="16" spans="1:3" x14ac:dyDescent="0.45">
      <c r="A16" s="8" t="s">
        <v>24</v>
      </c>
      <c r="B16" s="9">
        <f>COUNTIF(시험별비교!$N$5:$N$25,"미수록")</f>
        <v>5</v>
      </c>
      <c r="C16" s="7" t="s">
        <v>25</v>
      </c>
    </row>
    <row r="17" spans="1:3" x14ac:dyDescent="0.45">
      <c r="A17" s="8" t="s">
        <v>26</v>
      </c>
      <c r="B17" s="9">
        <f>COUNTIF(시험별비교!$O$5:$O$25,"확인 필요")</f>
        <v>2</v>
      </c>
      <c r="C17" s="7" t="s">
        <v>27</v>
      </c>
    </row>
    <row r="18" spans="1:3" x14ac:dyDescent="0.45">
      <c r="A18" s="8" t="s">
        <v>28</v>
      </c>
      <c r="B18" s="9">
        <f>COUNTIFS(시험별비교!$C$5:$C$25,"진행중",시험별비교!$H$5:$H$25,"3상")</f>
        <v>8</v>
      </c>
      <c r="C18" s="7"/>
    </row>
    <row r="19" spans="1:3" x14ac:dyDescent="0.45">
      <c r="A19" s="8" t="s">
        <v>29</v>
      </c>
      <c r="B19" s="9">
        <f>COUNTIFS(시험별비교!$C$5:$C$25,"진행중",시험별비교!$H$5:$H$25,"2상")</f>
        <v>1</v>
      </c>
      <c r="C19" s="7"/>
    </row>
    <row r="20" spans="1:3" x14ac:dyDescent="0.45">
      <c r="A20" s="8" t="s">
        <v>30</v>
      </c>
      <c r="B20" s="9">
        <f>COUNTIFS(시험별비교!$C$5:$C$25,"진행중",시험별비교!$H$5:$H$25,"1상")</f>
        <v>6</v>
      </c>
      <c r="C20" s="7"/>
    </row>
    <row r="21" spans="1:3" x14ac:dyDescent="0.45">
      <c r="A21" s="8" t="s">
        <v>31</v>
      </c>
      <c r="B21" s="9">
        <f>COUNTIFS(시험별비교!$C$5:$C$25,"진행중",시험별비교!$G$5:$G$25,"혈액암")</f>
        <v>6</v>
      </c>
      <c r="C21" s="7"/>
    </row>
    <row r="22" spans="1:3" x14ac:dyDescent="0.45">
      <c r="A22" s="8" t="s">
        <v>32</v>
      </c>
      <c r="B22" s="9">
        <f>COUNTIFS(시험별비교!$C$5:$C$25,"진행중",시험별비교!$G$5:$G$25,"고형암")</f>
        <v>9</v>
      </c>
      <c r="C22" s="7"/>
    </row>
    <row r="23" spans="1:3" x14ac:dyDescent="0.45">
      <c r="A23" s="8" t="s">
        <v>33</v>
      </c>
      <c r="B23" s="9">
        <f>COUNTIFS(시험별비교!$D$5:$D$25,"&gt;="&amp;DATE(2026,1,1))</f>
        <v>5</v>
      </c>
      <c r="C23" s="7" t="s">
        <v>34</v>
      </c>
    </row>
    <row r="24" spans="1:3" x14ac:dyDescent="0.45">
      <c r="A24" s="8" t="s">
        <v>35</v>
      </c>
      <c r="B24" s="9">
        <f>COUNTIF(실시기관!$W$8:$W$37,"&gt;0")</f>
        <v>30</v>
      </c>
      <c r="C24" s="7" t="s">
        <v>36</v>
      </c>
    </row>
    <row r="25" spans="1:3" x14ac:dyDescent="0.45">
      <c r="A25" s="8" t="s">
        <v>37</v>
      </c>
      <c r="B25" s="9">
        <f>COUNTA(실시기관!$A$8:$A$37)</f>
        <v>30</v>
      </c>
      <c r="C25" s="7"/>
    </row>
    <row r="26" spans="1:3" x14ac:dyDescent="0.45">
      <c r="A26" s="8" t="s">
        <v>38</v>
      </c>
      <c r="B26" s="9">
        <f>COUNTA(Appendix전체대조!$E$5:$E$90)</f>
        <v>86</v>
      </c>
      <c r="C26" s="7" t="s">
        <v>39</v>
      </c>
    </row>
    <row r="27" spans="1:3" x14ac:dyDescent="0.45">
      <c r="A27" s="7" t="s">
        <v>40</v>
      </c>
      <c r="B27" s="9">
        <f>COUNT(Appendix전체대조!$P$5:$P$90)</f>
        <v>16</v>
      </c>
      <c r="C27" s="7"/>
    </row>
    <row r="28" spans="1:3" x14ac:dyDescent="0.45">
      <c r="A28" s="7" t="s">
        <v>41</v>
      </c>
      <c r="B28" s="9">
        <f>COUNTIF(Appendix전체대조!$O$5:$O$90,"진행")+COUNTIF(Appendix전체대조!$O$5:$O$90,"유지")</f>
        <v>54</v>
      </c>
      <c r="C28" s="7" t="s">
        <v>42</v>
      </c>
    </row>
    <row r="29" spans="1:3" x14ac:dyDescent="0.45">
      <c r="A29" s="8" t="s">
        <v>43</v>
      </c>
      <c r="B29" s="9">
        <f>COUNTIF(제품비교!$F$5:$F$21,"Y")</f>
        <v>4</v>
      </c>
      <c r="C29" s="7" t="s">
        <v>44</v>
      </c>
    </row>
    <row r="30" spans="1:3" x14ac:dyDescent="0.45">
      <c r="A30" s="7" t="s">
        <v>45</v>
      </c>
      <c r="B30" s="9">
        <f>COUNTIF(제품비교!$G$5:$G$21,"허가")</f>
        <v>3</v>
      </c>
      <c r="C30" s="7" t="s">
        <v>46</v>
      </c>
    </row>
    <row r="31" spans="1:3" x14ac:dyDescent="0.45">
      <c r="A31" s="7" t="s">
        <v>47</v>
      </c>
      <c r="B31" s="9">
        <f>COUNTIF(제품비교!$G$5:$G$21,"미허가")</f>
        <v>1</v>
      </c>
      <c r="C31" s="7" t="s">
        <v>48</v>
      </c>
    </row>
    <row r="32" spans="1:3" x14ac:dyDescent="0.45">
      <c r="A32" s="2"/>
      <c r="B32" s="2"/>
      <c r="C32" s="2"/>
    </row>
    <row r="33" spans="1:3" x14ac:dyDescent="0.45">
      <c r="A33" s="4" t="s">
        <v>49</v>
      </c>
      <c r="B33" s="5"/>
      <c r="C33" s="5"/>
    </row>
    <row r="34" spans="1:3" ht="30" customHeight="1" x14ac:dyDescent="0.45">
      <c r="A34" s="8" t="s">
        <v>50</v>
      </c>
      <c r="B34" s="23" t="s">
        <v>51</v>
      </c>
      <c r="C34" s="23"/>
    </row>
    <row r="35" spans="1:3" ht="30" customHeight="1" x14ac:dyDescent="0.45">
      <c r="A35" s="8" t="s">
        <v>52</v>
      </c>
      <c r="B35" s="23" t="s">
        <v>53</v>
      </c>
      <c r="C35" s="23"/>
    </row>
    <row r="36" spans="1:3" ht="30" customHeight="1" x14ac:dyDescent="0.45">
      <c r="A36" s="8" t="s">
        <v>54</v>
      </c>
      <c r="B36" s="23" t="s">
        <v>55</v>
      </c>
      <c r="C36" s="23"/>
    </row>
    <row r="37" spans="1:3" ht="30" customHeight="1" x14ac:dyDescent="0.45">
      <c r="A37" s="8" t="s">
        <v>56</v>
      </c>
      <c r="B37" s="23" t="s">
        <v>57</v>
      </c>
      <c r="C37" s="23"/>
    </row>
    <row r="38" spans="1:3" ht="30" customHeight="1" x14ac:dyDescent="0.45">
      <c r="A38" s="8" t="s">
        <v>58</v>
      </c>
      <c r="B38" s="23" t="s">
        <v>59</v>
      </c>
      <c r="C38" s="23"/>
    </row>
    <row r="39" spans="1:3" ht="30" customHeight="1" x14ac:dyDescent="0.45">
      <c r="A39" s="8" t="s">
        <v>60</v>
      </c>
      <c r="B39" s="23" t="s">
        <v>61</v>
      </c>
      <c r="C39" s="23"/>
    </row>
    <row r="40" spans="1:3" x14ac:dyDescent="0.45">
      <c r="A40" s="2"/>
      <c r="B40" s="2"/>
      <c r="C40" s="2"/>
    </row>
    <row r="41" spans="1:3" x14ac:dyDescent="0.45">
      <c r="A41" s="4" t="s">
        <v>62</v>
      </c>
      <c r="B41" s="5"/>
      <c r="C41" s="5"/>
    </row>
    <row r="42" spans="1:3" ht="30" customHeight="1" x14ac:dyDescent="0.45">
      <c r="A42" s="23" t="s">
        <v>63</v>
      </c>
      <c r="B42" s="23"/>
      <c r="C42" s="23"/>
    </row>
    <row r="43" spans="1:3" ht="30" customHeight="1" x14ac:dyDescent="0.45">
      <c r="A43" s="23" t="s">
        <v>64</v>
      </c>
      <c r="B43" s="23"/>
      <c r="C43" s="23"/>
    </row>
    <row r="44" spans="1:3" ht="30" customHeight="1" x14ac:dyDescent="0.45">
      <c r="A44" s="23" t="s">
        <v>65</v>
      </c>
      <c r="B44" s="23"/>
      <c r="C44" s="23"/>
    </row>
    <row r="45" spans="1:3" x14ac:dyDescent="0.45">
      <c r="A45" s="2"/>
      <c r="B45" s="2"/>
      <c r="C45" s="2"/>
    </row>
    <row r="46" spans="1:3" x14ac:dyDescent="0.45">
      <c r="A46" s="10" t="s">
        <v>66</v>
      </c>
      <c r="B46" s="2"/>
      <c r="C46" s="2"/>
    </row>
  </sheetData>
  <mergeCells count="9">
    <mergeCell ref="B37:C37"/>
    <mergeCell ref="B34:C34"/>
    <mergeCell ref="B36:C36"/>
    <mergeCell ref="B35:C35"/>
    <mergeCell ref="B39:C39"/>
    <mergeCell ref="A42:C42"/>
    <mergeCell ref="B38:C38"/>
    <mergeCell ref="A44:C44"/>
    <mergeCell ref="A43:C43"/>
  </mergeCells>
  <phoneticPr fontId="8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0"/>
  <sheetViews>
    <sheetView showGridLines="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5" customWidth="1"/>
    <col min="2" max="2" width="10" customWidth="1"/>
    <col min="3" max="3" width="9" customWidth="1"/>
    <col min="4" max="4" width="11" customWidth="1"/>
    <col min="5" max="5" width="22" customWidth="1"/>
    <col min="6" max="6" width="16" customWidth="1"/>
    <col min="7" max="7" width="9" customWidth="1"/>
    <col min="8" max="8" width="6" customWidth="1"/>
    <col min="9" max="9" width="40" customWidth="1"/>
    <col min="10" max="10" width="26" customWidth="1"/>
    <col min="11" max="11" width="13" customWidth="1"/>
    <col min="12" max="12" width="14" customWidth="1"/>
    <col min="13" max="13" width="22" customWidth="1"/>
    <col min="14" max="14" width="9" customWidth="1"/>
    <col min="15" max="15" width="10" customWidth="1"/>
    <col min="16" max="16" width="40" customWidth="1"/>
    <col min="17" max="17" width="9" customWidth="1"/>
    <col min="18" max="18" width="46" customWidth="1"/>
    <col min="19" max="19" width="70" customWidth="1"/>
  </cols>
  <sheetData>
    <row r="1" spans="1:19" ht="25.5" x14ac:dyDescent="0.7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45">
      <c r="A2" s="3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30" customHeight="1" x14ac:dyDescent="0.45">
      <c r="A4" s="11" t="s">
        <v>69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  <c r="K4" s="11" t="s">
        <v>79</v>
      </c>
      <c r="L4" s="11" t="s">
        <v>80</v>
      </c>
      <c r="M4" s="11" t="s">
        <v>81</v>
      </c>
      <c r="N4" s="11" t="s">
        <v>82</v>
      </c>
      <c r="O4" s="11" t="s">
        <v>83</v>
      </c>
      <c r="P4" s="11" t="s">
        <v>84</v>
      </c>
      <c r="Q4" s="11" t="s">
        <v>85</v>
      </c>
      <c r="R4" s="11" t="s">
        <v>86</v>
      </c>
      <c r="S4" s="11" t="s">
        <v>87</v>
      </c>
    </row>
    <row r="5" spans="1:19" ht="48" x14ac:dyDescent="0.45">
      <c r="A5" s="12">
        <v>1</v>
      </c>
      <c r="B5" s="12" t="s">
        <v>88</v>
      </c>
      <c r="C5" s="12" t="str">
        <f t="shared" ref="C5:C25" si="0">IF(B5="종료","종료","진행중")</f>
        <v>진행중</v>
      </c>
      <c r="D5" s="13">
        <v>46297</v>
      </c>
      <c r="E5" s="7" t="s">
        <v>89</v>
      </c>
      <c r="F5" s="7" t="s">
        <v>90</v>
      </c>
      <c r="G5" s="12" t="s">
        <v>91</v>
      </c>
      <c r="H5" s="12" t="s">
        <v>92</v>
      </c>
      <c r="I5" s="7" t="s">
        <v>93</v>
      </c>
      <c r="J5" s="7"/>
      <c r="K5" s="7"/>
      <c r="L5" s="12"/>
      <c r="M5" s="7" t="s">
        <v>94</v>
      </c>
      <c r="N5" s="12" t="s">
        <v>95</v>
      </c>
      <c r="O5" s="12" t="s">
        <v>26</v>
      </c>
      <c r="P5" s="7" t="s">
        <v>96</v>
      </c>
      <c r="Q5" s="12">
        <f>실시기관!B38</f>
        <v>6</v>
      </c>
      <c r="R5" s="7" t="s">
        <v>97</v>
      </c>
      <c r="S5" s="7" t="s">
        <v>98</v>
      </c>
    </row>
    <row r="6" spans="1:19" ht="32" x14ac:dyDescent="0.45">
      <c r="A6" s="12">
        <v>2</v>
      </c>
      <c r="B6" s="12" t="s">
        <v>88</v>
      </c>
      <c r="C6" s="12" t="str">
        <f t="shared" si="0"/>
        <v>진행중</v>
      </c>
      <c r="D6" s="13">
        <v>46239</v>
      </c>
      <c r="E6" s="7" t="s">
        <v>99</v>
      </c>
      <c r="F6" s="7" t="s">
        <v>100</v>
      </c>
      <c r="G6" s="12" t="s">
        <v>91</v>
      </c>
      <c r="H6" s="12" t="s">
        <v>101</v>
      </c>
      <c r="I6" s="7" t="s">
        <v>102</v>
      </c>
      <c r="J6" s="7" t="s">
        <v>103</v>
      </c>
      <c r="K6" s="7" t="s">
        <v>104</v>
      </c>
      <c r="L6" s="12" t="s">
        <v>105</v>
      </c>
      <c r="M6" s="7" t="s">
        <v>106</v>
      </c>
      <c r="N6" s="12" t="s">
        <v>107</v>
      </c>
      <c r="O6" s="12" t="s">
        <v>108</v>
      </c>
      <c r="P6" s="7" t="s">
        <v>109</v>
      </c>
      <c r="Q6" s="12">
        <f>실시기관!C38</f>
        <v>5</v>
      </c>
      <c r="R6" s="7" t="s">
        <v>110</v>
      </c>
      <c r="S6" s="7" t="s">
        <v>111</v>
      </c>
    </row>
    <row r="7" spans="1:19" ht="32" x14ac:dyDescent="0.45">
      <c r="A7" s="12">
        <v>3</v>
      </c>
      <c r="B7" s="12" t="s">
        <v>112</v>
      </c>
      <c r="C7" s="12" t="str">
        <f t="shared" si="0"/>
        <v>진행중</v>
      </c>
      <c r="D7" s="13">
        <v>46183</v>
      </c>
      <c r="E7" s="7" t="s">
        <v>89</v>
      </c>
      <c r="F7" s="7" t="s">
        <v>90</v>
      </c>
      <c r="G7" s="12" t="s">
        <v>91</v>
      </c>
      <c r="H7" s="12" t="s">
        <v>101</v>
      </c>
      <c r="I7" s="7" t="s">
        <v>113</v>
      </c>
      <c r="J7" s="7" t="s">
        <v>114</v>
      </c>
      <c r="K7" s="7" t="s">
        <v>115</v>
      </c>
      <c r="L7" s="12" t="s">
        <v>105</v>
      </c>
      <c r="M7" s="7" t="s">
        <v>106</v>
      </c>
      <c r="N7" s="12" t="s">
        <v>107</v>
      </c>
      <c r="O7" s="12" t="s">
        <v>108</v>
      </c>
      <c r="P7" s="7" t="s">
        <v>116</v>
      </c>
      <c r="Q7" s="12">
        <f>실시기관!D38</f>
        <v>4</v>
      </c>
      <c r="R7" s="7" t="s">
        <v>117</v>
      </c>
      <c r="S7" s="7" t="s">
        <v>118</v>
      </c>
    </row>
    <row r="8" spans="1:19" ht="96" x14ac:dyDescent="0.45">
      <c r="A8" s="12">
        <v>4</v>
      </c>
      <c r="B8" s="12" t="s">
        <v>112</v>
      </c>
      <c r="C8" s="12" t="str">
        <f t="shared" si="0"/>
        <v>진행중</v>
      </c>
      <c r="D8" s="13">
        <v>46121</v>
      </c>
      <c r="E8" s="7" t="s">
        <v>119</v>
      </c>
      <c r="F8" s="7" t="s">
        <v>120</v>
      </c>
      <c r="G8" s="12" t="s">
        <v>91</v>
      </c>
      <c r="H8" s="12" t="s">
        <v>121</v>
      </c>
      <c r="I8" s="7" t="s">
        <v>122</v>
      </c>
      <c r="J8" s="7" t="s">
        <v>123</v>
      </c>
      <c r="K8" s="7" t="s">
        <v>124</v>
      </c>
      <c r="L8" s="12" t="s">
        <v>125</v>
      </c>
      <c r="M8" s="7" t="s">
        <v>126</v>
      </c>
      <c r="N8" s="12" t="s">
        <v>107</v>
      </c>
      <c r="O8" s="12" t="s">
        <v>108</v>
      </c>
      <c r="P8" s="7" t="s">
        <v>127</v>
      </c>
      <c r="Q8" s="12">
        <f>실시기관!E38</f>
        <v>25</v>
      </c>
      <c r="R8" s="7" t="s">
        <v>128</v>
      </c>
      <c r="S8" s="7" t="s">
        <v>129</v>
      </c>
    </row>
    <row r="9" spans="1:19" ht="48" x14ac:dyDescent="0.45">
      <c r="A9" s="12">
        <v>5</v>
      </c>
      <c r="B9" s="12" t="s">
        <v>112</v>
      </c>
      <c r="C9" s="12" t="str">
        <f t="shared" si="0"/>
        <v>진행중</v>
      </c>
      <c r="D9" s="13">
        <v>46029</v>
      </c>
      <c r="E9" s="7" t="s">
        <v>130</v>
      </c>
      <c r="F9" s="7" t="s">
        <v>131</v>
      </c>
      <c r="G9" s="12" t="s">
        <v>132</v>
      </c>
      <c r="H9" s="12" t="s">
        <v>121</v>
      </c>
      <c r="I9" s="7" t="s">
        <v>133</v>
      </c>
      <c r="J9" s="7" t="s">
        <v>134</v>
      </c>
      <c r="K9" s="7" t="s">
        <v>135</v>
      </c>
      <c r="L9" s="12" t="s">
        <v>125</v>
      </c>
      <c r="M9" s="7" t="s">
        <v>136</v>
      </c>
      <c r="N9" s="12" t="s">
        <v>107</v>
      </c>
      <c r="O9" s="12" t="s">
        <v>108</v>
      </c>
      <c r="P9" s="7"/>
      <c r="Q9" s="12">
        <f>실시기관!F38</f>
        <v>5</v>
      </c>
      <c r="R9" s="7" t="s">
        <v>137</v>
      </c>
      <c r="S9" s="7" t="s">
        <v>138</v>
      </c>
    </row>
    <row r="10" spans="1:19" ht="32" x14ac:dyDescent="0.45">
      <c r="A10" s="12">
        <v>6</v>
      </c>
      <c r="B10" s="12" t="s">
        <v>112</v>
      </c>
      <c r="C10" s="12" t="str">
        <f t="shared" si="0"/>
        <v>진행중</v>
      </c>
      <c r="D10" s="13">
        <v>45954</v>
      </c>
      <c r="E10" s="7" t="s">
        <v>139</v>
      </c>
      <c r="F10" s="7" t="s">
        <v>140</v>
      </c>
      <c r="G10" s="12" t="s">
        <v>91</v>
      </c>
      <c r="H10" s="12" t="s">
        <v>101</v>
      </c>
      <c r="I10" s="7" t="s">
        <v>141</v>
      </c>
      <c r="J10" s="7" t="s">
        <v>142</v>
      </c>
      <c r="K10" s="7" t="s">
        <v>143</v>
      </c>
      <c r="L10" s="12" t="s">
        <v>105</v>
      </c>
      <c r="M10" s="7" t="s">
        <v>106</v>
      </c>
      <c r="N10" s="12" t="s">
        <v>107</v>
      </c>
      <c r="O10" s="12" t="s">
        <v>108</v>
      </c>
      <c r="P10" s="7" t="s">
        <v>144</v>
      </c>
      <c r="Q10" s="12">
        <f>실시기관!G38</f>
        <v>7</v>
      </c>
      <c r="R10" s="7" t="s">
        <v>145</v>
      </c>
      <c r="S10" s="7" t="s">
        <v>146</v>
      </c>
    </row>
    <row r="11" spans="1:19" ht="48" x14ac:dyDescent="0.45">
      <c r="A11" s="12">
        <v>7</v>
      </c>
      <c r="B11" s="12" t="s">
        <v>112</v>
      </c>
      <c r="C11" s="12" t="str">
        <f t="shared" si="0"/>
        <v>진행중</v>
      </c>
      <c r="D11" s="13">
        <v>45908</v>
      </c>
      <c r="E11" s="7" t="s">
        <v>147</v>
      </c>
      <c r="F11" s="7" t="s">
        <v>148</v>
      </c>
      <c r="G11" s="12" t="s">
        <v>91</v>
      </c>
      <c r="H11" s="12" t="s">
        <v>121</v>
      </c>
      <c r="I11" s="7" t="s">
        <v>149</v>
      </c>
      <c r="J11" s="7" t="s">
        <v>150</v>
      </c>
      <c r="K11" s="7" t="s">
        <v>151</v>
      </c>
      <c r="L11" s="12" t="s">
        <v>125</v>
      </c>
      <c r="M11" s="7" t="s">
        <v>152</v>
      </c>
      <c r="N11" s="12" t="s">
        <v>107</v>
      </c>
      <c r="O11" s="12" t="s">
        <v>108</v>
      </c>
      <c r="P11" s="7" t="s">
        <v>153</v>
      </c>
      <c r="Q11" s="12">
        <f>실시기관!H38</f>
        <v>6</v>
      </c>
      <c r="R11" s="7" t="s">
        <v>154</v>
      </c>
      <c r="S11" s="7" t="s">
        <v>155</v>
      </c>
    </row>
    <row r="12" spans="1:19" ht="32" x14ac:dyDescent="0.45">
      <c r="A12" s="12">
        <v>8</v>
      </c>
      <c r="B12" s="12" t="s">
        <v>112</v>
      </c>
      <c r="C12" s="12" t="str">
        <f t="shared" si="0"/>
        <v>진행중</v>
      </c>
      <c r="D12" s="13">
        <v>45868</v>
      </c>
      <c r="E12" s="7" t="s">
        <v>156</v>
      </c>
      <c r="F12" s="7" t="s">
        <v>157</v>
      </c>
      <c r="G12" s="12" t="s">
        <v>132</v>
      </c>
      <c r="H12" s="12" t="s">
        <v>121</v>
      </c>
      <c r="I12" s="7" t="s">
        <v>158</v>
      </c>
      <c r="J12" s="7" t="s">
        <v>159</v>
      </c>
      <c r="K12" s="7" t="s">
        <v>160</v>
      </c>
      <c r="L12" s="12" t="s">
        <v>125</v>
      </c>
      <c r="M12" s="7" t="s">
        <v>161</v>
      </c>
      <c r="N12" s="12" t="s">
        <v>107</v>
      </c>
      <c r="O12" s="12" t="s">
        <v>108</v>
      </c>
      <c r="P12" s="7"/>
      <c r="Q12" s="12">
        <f>실시기관!I38</f>
        <v>6</v>
      </c>
      <c r="R12" s="7" t="s">
        <v>162</v>
      </c>
      <c r="S12" s="7" t="s">
        <v>163</v>
      </c>
    </row>
    <row r="13" spans="1:19" ht="64" x14ac:dyDescent="0.45">
      <c r="A13" s="12">
        <v>9</v>
      </c>
      <c r="B13" s="12" t="s">
        <v>112</v>
      </c>
      <c r="C13" s="12" t="str">
        <f t="shared" si="0"/>
        <v>진행중</v>
      </c>
      <c r="D13" s="13">
        <v>45841</v>
      </c>
      <c r="E13" s="7" t="s">
        <v>156</v>
      </c>
      <c r="F13" s="7" t="s">
        <v>157</v>
      </c>
      <c r="G13" s="12" t="s">
        <v>132</v>
      </c>
      <c r="H13" s="12" t="s">
        <v>121</v>
      </c>
      <c r="I13" s="7" t="s">
        <v>164</v>
      </c>
      <c r="J13" s="7" t="s">
        <v>165</v>
      </c>
      <c r="K13" s="7" t="s">
        <v>166</v>
      </c>
      <c r="L13" s="12" t="s">
        <v>125</v>
      </c>
      <c r="M13" s="7" t="s">
        <v>167</v>
      </c>
      <c r="N13" s="12" t="s">
        <v>107</v>
      </c>
      <c r="O13" s="12" t="s">
        <v>108</v>
      </c>
      <c r="P13" s="7"/>
      <c r="Q13" s="12">
        <f>실시기관!J38</f>
        <v>9</v>
      </c>
      <c r="R13" s="7" t="s">
        <v>168</v>
      </c>
      <c r="S13" s="7" t="s">
        <v>169</v>
      </c>
    </row>
    <row r="14" spans="1:19" ht="48" x14ac:dyDescent="0.45">
      <c r="A14" s="12">
        <v>10</v>
      </c>
      <c r="B14" s="12" t="s">
        <v>170</v>
      </c>
      <c r="C14" s="12" t="str">
        <f t="shared" si="0"/>
        <v>종료</v>
      </c>
      <c r="D14" s="13">
        <v>45828</v>
      </c>
      <c r="E14" s="7" t="s">
        <v>171</v>
      </c>
      <c r="F14" s="7" t="s">
        <v>172</v>
      </c>
      <c r="G14" s="12" t="s">
        <v>91</v>
      </c>
      <c r="H14" s="12" t="s">
        <v>101</v>
      </c>
      <c r="I14" s="7" t="s">
        <v>173</v>
      </c>
      <c r="J14" s="7"/>
      <c r="K14" s="7"/>
      <c r="L14" s="12"/>
      <c r="M14" s="7" t="s">
        <v>174</v>
      </c>
      <c r="N14" s="12" t="s">
        <v>95</v>
      </c>
      <c r="O14" s="12" t="s">
        <v>175</v>
      </c>
      <c r="P14" s="7" t="s">
        <v>176</v>
      </c>
      <c r="Q14" s="12">
        <f>실시기관!K38</f>
        <v>5</v>
      </c>
      <c r="R14" s="7" t="s">
        <v>177</v>
      </c>
      <c r="S14" s="7" t="s">
        <v>178</v>
      </c>
    </row>
    <row r="15" spans="1:19" ht="48" x14ac:dyDescent="0.45">
      <c r="A15" s="12">
        <v>11</v>
      </c>
      <c r="B15" s="12" t="s">
        <v>112</v>
      </c>
      <c r="C15" s="12" t="str">
        <f t="shared" si="0"/>
        <v>진행중</v>
      </c>
      <c r="D15" s="13">
        <v>45797</v>
      </c>
      <c r="E15" s="7" t="s">
        <v>130</v>
      </c>
      <c r="F15" s="7" t="s">
        <v>131</v>
      </c>
      <c r="G15" s="12" t="s">
        <v>132</v>
      </c>
      <c r="H15" s="12" t="s">
        <v>121</v>
      </c>
      <c r="I15" s="7" t="s">
        <v>179</v>
      </c>
      <c r="J15" s="7" t="s">
        <v>180</v>
      </c>
      <c r="K15" s="7" t="s">
        <v>181</v>
      </c>
      <c r="L15" s="12" t="s">
        <v>125</v>
      </c>
      <c r="M15" s="7" t="s">
        <v>182</v>
      </c>
      <c r="N15" s="12" t="s">
        <v>107</v>
      </c>
      <c r="O15" s="12" t="s">
        <v>108</v>
      </c>
      <c r="P15" s="7"/>
      <c r="Q15" s="12">
        <f>실시기관!L38</f>
        <v>7</v>
      </c>
      <c r="R15" s="7" t="s">
        <v>183</v>
      </c>
      <c r="S15" s="7" t="s">
        <v>184</v>
      </c>
    </row>
    <row r="16" spans="1:19" ht="48" x14ac:dyDescent="0.45">
      <c r="A16" s="12">
        <v>12</v>
      </c>
      <c r="B16" s="12" t="s">
        <v>170</v>
      </c>
      <c r="C16" s="12" t="str">
        <f t="shared" si="0"/>
        <v>종료</v>
      </c>
      <c r="D16" s="13">
        <v>45761</v>
      </c>
      <c r="E16" s="7" t="s">
        <v>185</v>
      </c>
      <c r="F16" s="7" t="s">
        <v>186</v>
      </c>
      <c r="G16" s="12" t="s">
        <v>91</v>
      </c>
      <c r="H16" s="12" t="s">
        <v>101</v>
      </c>
      <c r="I16" s="7" t="s">
        <v>187</v>
      </c>
      <c r="J16" s="7"/>
      <c r="K16" s="7"/>
      <c r="L16" s="12"/>
      <c r="M16" s="7" t="s">
        <v>174</v>
      </c>
      <c r="N16" s="12" t="s">
        <v>95</v>
      </c>
      <c r="O16" s="12" t="s">
        <v>175</v>
      </c>
      <c r="P16" s="7" t="s">
        <v>176</v>
      </c>
      <c r="Q16" s="12">
        <f>실시기관!M38</f>
        <v>5</v>
      </c>
      <c r="R16" s="7" t="s">
        <v>188</v>
      </c>
      <c r="S16" s="7" t="s">
        <v>189</v>
      </c>
    </row>
    <row r="17" spans="1:19" ht="32" x14ac:dyDescent="0.45">
      <c r="A17" s="12">
        <v>13</v>
      </c>
      <c r="B17" s="12" t="s">
        <v>170</v>
      </c>
      <c r="C17" s="12" t="str">
        <f t="shared" si="0"/>
        <v>종료</v>
      </c>
      <c r="D17" s="13">
        <v>45743</v>
      </c>
      <c r="E17" s="7" t="s">
        <v>190</v>
      </c>
      <c r="F17" s="7" t="s">
        <v>191</v>
      </c>
      <c r="G17" s="12" t="s">
        <v>91</v>
      </c>
      <c r="H17" s="12" t="s">
        <v>101</v>
      </c>
      <c r="I17" s="7" t="s">
        <v>192</v>
      </c>
      <c r="J17" s="7"/>
      <c r="K17" s="7"/>
      <c r="L17" s="12"/>
      <c r="M17" s="7" t="s">
        <v>174</v>
      </c>
      <c r="N17" s="12" t="s">
        <v>95</v>
      </c>
      <c r="O17" s="12" t="s">
        <v>175</v>
      </c>
      <c r="P17" s="7" t="s">
        <v>176</v>
      </c>
      <c r="Q17" s="12">
        <f>실시기관!N38</f>
        <v>4</v>
      </c>
      <c r="R17" s="7" t="s">
        <v>193</v>
      </c>
      <c r="S17" s="7" t="s">
        <v>194</v>
      </c>
    </row>
    <row r="18" spans="1:19" ht="32" x14ac:dyDescent="0.45">
      <c r="A18" s="12">
        <v>14</v>
      </c>
      <c r="B18" s="12" t="s">
        <v>170</v>
      </c>
      <c r="C18" s="12" t="str">
        <f t="shared" si="0"/>
        <v>종료</v>
      </c>
      <c r="D18" s="13">
        <v>45720</v>
      </c>
      <c r="E18" s="7" t="s">
        <v>195</v>
      </c>
      <c r="F18" s="7" t="s">
        <v>196</v>
      </c>
      <c r="G18" s="12" t="s">
        <v>91</v>
      </c>
      <c r="H18" s="12" t="s">
        <v>101</v>
      </c>
      <c r="I18" s="7" t="s">
        <v>197</v>
      </c>
      <c r="J18" s="7" t="s">
        <v>198</v>
      </c>
      <c r="K18" s="7" t="s">
        <v>199</v>
      </c>
      <c r="L18" s="12" t="s">
        <v>200</v>
      </c>
      <c r="M18" s="7" t="s">
        <v>174</v>
      </c>
      <c r="N18" s="12" t="s">
        <v>107</v>
      </c>
      <c r="O18" s="12" t="s">
        <v>175</v>
      </c>
      <c r="P18" s="7" t="s">
        <v>201</v>
      </c>
      <c r="Q18" s="12">
        <f>실시기관!O38</f>
        <v>6</v>
      </c>
      <c r="R18" s="7" t="s">
        <v>202</v>
      </c>
      <c r="S18" s="7" t="s">
        <v>203</v>
      </c>
    </row>
    <row r="19" spans="1:19" ht="32" x14ac:dyDescent="0.45">
      <c r="A19" s="12">
        <v>15</v>
      </c>
      <c r="B19" s="12" t="s">
        <v>112</v>
      </c>
      <c r="C19" s="12" t="str">
        <f t="shared" si="0"/>
        <v>진행중</v>
      </c>
      <c r="D19" s="13">
        <v>45681</v>
      </c>
      <c r="E19" s="7" t="s">
        <v>130</v>
      </c>
      <c r="F19" s="7" t="s">
        <v>131</v>
      </c>
      <c r="G19" s="12" t="s">
        <v>132</v>
      </c>
      <c r="H19" s="12" t="s">
        <v>121</v>
      </c>
      <c r="I19" s="7" t="s">
        <v>204</v>
      </c>
      <c r="J19" s="7" t="s">
        <v>205</v>
      </c>
      <c r="K19" s="7" t="s">
        <v>206</v>
      </c>
      <c r="L19" s="12" t="s">
        <v>125</v>
      </c>
      <c r="M19" s="7" t="s">
        <v>207</v>
      </c>
      <c r="N19" s="12" t="s">
        <v>107</v>
      </c>
      <c r="O19" s="12" t="s">
        <v>108</v>
      </c>
      <c r="P19" s="7"/>
      <c r="Q19" s="12">
        <f>실시기관!P38</f>
        <v>8</v>
      </c>
      <c r="R19" s="7" t="s">
        <v>208</v>
      </c>
      <c r="S19" s="7" t="s">
        <v>209</v>
      </c>
    </row>
    <row r="20" spans="1:19" ht="32" x14ac:dyDescent="0.45">
      <c r="A20" s="12">
        <v>16</v>
      </c>
      <c r="B20" s="12" t="s">
        <v>112</v>
      </c>
      <c r="C20" s="12" t="str">
        <f t="shared" si="0"/>
        <v>진행중</v>
      </c>
      <c r="D20" s="13">
        <v>45664</v>
      </c>
      <c r="E20" s="7" t="s">
        <v>210</v>
      </c>
      <c r="F20" s="7" t="s">
        <v>211</v>
      </c>
      <c r="G20" s="12" t="s">
        <v>91</v>
      </c>
      <c r="H20" s="12" t="s">
        <v>101</v>
      </c>
      <c r="I20" s="7" t="s">
        <v>212</v>
      </c>
      <c r="J20" s="7" t="s">
        <v>213</v>
      </c>
      <c r="K20" s="7" t="s">
        <v>214</v>
      </c>
      <c r="L20" s="12" t="s">
        <v>105</v>
      </c>
      <c r="M20" s="7" t="s">
        <v>106</v>
      </c>
      <c r="N20" s="12" t="s">
        <v>107</v>
      </c>
      <c r="O20" s="12" t="s">
        <v>108</v>
      </c>
      <c r="P20" s="7"/>
      <c r="Q20" s="12">
        <f>실시기관!Q38</f>
        <v>6</v>
      </c>
      <c r="R20" s="7" t="s">
        <v>215</v>
      </c>
      <c r="S20" s="7" t="s">
        <v>216</v>
      </c>
    </row>
    <row r="21" spans="1:19" ht="48" x14ac:dyDescent="0.45">
      <c r="A21" s="12">
        <v>17</v>
      </c>
      <c r="B21" s="12" t="s">
        <v>170</v>
      </c>
      <c r="C21" s="12" t="str">
        <f t="shared" si="0"/>
        <v>종료</v>
      </c>
      <c r="D21" s="13">
        <v>45660</v>
      </c>
      <c r="E21" s="7" t="s">
        <v>217</v>
      </c>
      <c r="F21" s="7" t="s">
        <v>218</v>
      </c>
      <c r="G21" s="12" t="s">
        <v>91</v>
      </c>
      <c r="H21" s="12" t="s">
        <v>101</v>
      </c>
      <c r="I21" s="7" t="s">
        <v>219</v>
      </c>
      <c r="J21" s="7" t="s">
        <v>220</v>
      </c>
      <c r="K21" s="7" t="s">
        <v>221</v>
      </c>
      <c r="L21" s="12" t="s">
        <v>105</v>
      </c>
      <c r="M21" s="7" t="s">
        <v>222</v>
      </c>
      <c r="N21" s="12" t="s">
        <v>107</v>
      </c>
      <c r="O21" s="12" t="s">
        <v>26</v>
      </c>
      <c r="P21" s="7" t="s">
        <v>223</v>
      </c>
      <c r="Q21" s="12">
        <f>실시기관!R38</f>
        <v>10</v>
      </c>
      <c r="R21" s="7" t="s">
        <v>224</v>
      </c>
      <c r="S21" s="7" t="s">
        <v>225</v>
      </c>
    </row>
    <row r="22" spans="1:19" ht="48" x14ac:dyDescent="0.45">
      <c r="A22" s="12">
        <v>18</v>
      </c>
      <c r="B22" s="12" t="s">
        <v>112</v>
      </c>
      <c r="C22" s="12" t="str">
        <f t="shared" si="0"/>
        <v>진행중</v>
      </c>
      <c r="D22" s="13">
        <v>45555</v>
      </c>
      <c r="E22" s="7" t="s">
        <v>119</v>
      </c>
      <c r="F22" s="7" t="s">
        <v>120</v>
      </c>
      <c r="G22" s="12" t="s">
        <v>91</v>
      </c>
      <c r="H22" s="12" t="s">
        <v>101</v>
      </c>
      <c r="I22" s="7" t="s">
        <v>226</v>
      </c>
      <c r="J22" s="7" t="s">
        <v>227</v>
      </c>
      <c r="K22" s="7" t="s">
        <v>228</v>
      </c>
      <c r="L22" s="12" t="s">
        <v>229</v>
      </c>
      <c r="M22" s="7" t="s">
        <v>106</v>
      </c>
      <c r="N22" s="12" t="s">
        <v>107</v>
      </c>
      <c r="O22" s="12" t="s">
        <v>108</v>
      </c>
      <c r="P22" s="7"/>
      <c r="Q22" s="12">
        <f>실시기관!S38</f>
        <v>8</v>
      </c>
      <c r="R22" s="7" t="s">
        <v>230</v>
      </c>
      <c r="S22" s="7" t="s">
        <v>231</v>
      </c>
    </row>
    <row r="23" spans="1:19" ht="48" x14ac:dyDescent="0.45">
      <c r="A23" s="12">
        <v>19</v>
      </c>
      <c r="B23" s="12" t="s">
        <v>112</v>
      </c>
      <c r="C23" s="12" t="str">
        <f t="shared" si="0"/>
        <v>진행중</v>
      </c>
      <c r="D23" s="13">
        <v>45554</v>
      </c>
      <c r="E23" s="7" t="s">
        <v>232</v>
      </c>
      <c r="F23" s="7" t="s">
        <v>233</v>
      </c>
      <c r="G23" s="12" t="s">
        <v>91</v>
      </c>
      <c r="H23" s="12" t="s">
        <v>101</v>
      </c>
      <c r="I23" s="7" t="s">
        <v>234</v>
      </c>
      <c r="J23" s="7" t="s">
        <v>235</v>
      </c>
      <c r="K23" s="7" t="s">
        <v>236</v>
      </c>
      <c r="L23" s="12" t="s">
        <v>105</v>
      </c>
      <c r="M23" s="7" t="s">
        <v>237</v>
      </c>
      <c r="N23" s="12" t="s">
        <v>107</v>
      </c>
      <c r="O23" s="12" t="s">
        <v>108</v>
      </c>
      <c r="P23" s="7" t="s">
        <v>238</v>
      </c>
      <c r="Q23" s="12">
        <f>실시기관!T38</f>
        <v>7</v>
      </c>
      <c r="R23" s="7" t="s">
        <v>239</v>
      </c>
      <c r="S23" s="7" t="s">
        <v>240</v>
      </c>
    </row>
    <row r="24" spans="1:19" ht="48" x14ac:dyDescent="0.45">
      <c r="A24" s="12">
        <v>20</v>
      </c>
      <c r="B24" s="12" t="s">
        <v>241</v>
      </c>
      <c r="C24" s="12" t="str">
        <f t="shared" si="0"/>
        <v>진행중</v>
      </c>
      <c r="D24" s="13">
        <v>45266</v>
      </c>
      <c r="E24" s="7" t="s">
        <v>130</v>
      </c>
      <c r="F24" s="7" t="s">
        <v>131</v>
      </c>
      <c r="G24" s="12" t="s">
        <v>132</v>
      </c>
      <c r="H24" s="12" t="s">
        <v>121</v>
      </c>
      <c r="I24" s="7" t="s">
        <v>242</v>
      </c>
      <c r="J24" s="7" t="s">
        <v>243</v>
      </c>
      <c r="K24" s="7" t="s">
        <v>244</v>
      </c>
      <c r="L24" s="12" t="s">
        <v>245</v>
      </c>
      <c r="M24" s="7" t="s">
        <v>246</v>
      </c>
      <c r="N24" s="12" t="s">
        <v>107</v>
      </c>
      <c r="O24" s="12" t="s">
        <v>108</v>
      </c>
      <c r="P24" s="7" t="s">
        <v>247</v>
      </c>
      <c r="Q24" s="12">
        <f>실시기관!U38</f>
        <v>9</v>
      </c>
      <c r="R24" s="7" t="s">
        <v>248</v>
      </c>
      <c r="S24" s="7" t="s">
        <v>249</v>
      </c>
    </row>
    <row r="25" spans="1:19" ht="48" x14ac:dyDescent="0.45">
      <c r="A25" s="12">
        <v>21</v>
      </c>
      <c r="B25" s="12" t="s">
        <v>170</v>
      </c>
      <c r="C25" s="12" t="str">
        <f t="shared" si="0"/>
        <v>종료</v>
      </c>
      <c r="D25" s="13">
        <v>45253</v>
      </c>
      <c r="E25" s="7" t="s">
        <v>250</v>
      </c>
      <c r="F25" s="7" t="s">
        <v>251</v>
      </c>
      <c r="G25" s="12" t="s">
        <v>91</v>
      </c>
      <c r="H25" s="12" t="s">
        <v>92</v>
      </c>
      <c r="I25" s="7" t="s">
        <v>252</v>
      </c>
      <c r="J25" s="7"/>
      <c r="K25" s="7"/>
      <c r="L25" s="12"/>
      <c r="M25" s="7" t="s">
        <v>174</v>
      </c>
      <c r="N25" s="12" t="s">
        <v>95</v>
      </c>
      <c r="O25" s="12" t="s">
        <v>175</v>
      </c>
      <c r="P25" s="7" t="s">
        <v>253</v>
      </c>
      <c r="Q25" s="12">
        <f>실시기관!V38</f>
        <v>10</v>
      </c>
      <c r="R25" s="7" t="s">
        <v>254</v>
      </c>
      <c r="S25" s="7" t="s">
        <v>255</v>
      </c>
    </row>
    <row r="26" spans="1:19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45">
      <c r="A27" s="10" t="s">
        <v>256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45">
      <c r="A28" s="10" t="s">
        <v>257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45">
      <c r="A29" s="10" t="s">
        <v>258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45">
      <c r="A30" s="10" t="s">
        <v>259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</sheetData>
  <autoFilter ref="A4:S25" xr:uid="{00000000-0009-0000-0000-000001000000}"/>
  <phoneticPr fontId="8" type="noConversion"/>
  <conditionalFormatting sqref="A5:S25">
    <cfRule type="expression" dxfId="7" priority="1">
      <formula>$O5="확인 필요"</formula>
    </cfRule>
    <cfRule type="expression" dxfId="6" priority="2">
      <formula>$C5="종료"</formula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42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8" customWidth="1"/>
    <col min="2" max="22" width="7.5" customWidth="1"/>
    <col min="23" max="24" width="11" customWidth="1"/>
  </cols>
  <sheetData>
    <row r="1" spans="1:24" ht="25.5" x14ac:dyDescent="0.7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45">
      <c r="A2" s="3" t="s">
        <v>261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45">
      <c r="A4" s="14" t="s">
        <v>262</v>
      </c>
      <c r="B4" s="11">
        <f>시험별비교!A5</f>
        <v>1</v>
      </c>
      <c r="C4" s="11">
        <f>시험별비교!A6</f>
        <v>2</v>
      </c>
      <c r="D4" s="11">
        <f>시험별비교!A7</f>
        <v>3</v>
      </c>
      <c r="E4" s="11">
        <f>시험별비교!A8</f>
        <v>4</v>
      </c>
      <c r="F4" s="11">
        <f>시험별비교!A9</f>
        <v>5</v>
      </c>
      <c r="G4" s="11">
        <f>시험별비교!A10</f>
        <v>6</v>
      </c>
      <c r="H4" s="11">
        <f>시험별비교!A11</f>
        <v>7</v>
      </c>
      <c r="I4" s="11">
        <f>시험별비교!A12</f>
        <v>8</v>
      </c>
      <c r="J4" s="11">
        <f>시험별비교!A13</f>
        <v>9</v>
      </c>
      <c r="K4" s="11">
        <f>시험별비교!A14</f>
        <v>10</v>
      </c>
      <c r="L4" s="11">
        <f>시험별비교!A15</f>
        <v>11</v>
      </c>
      <c r="M4" s="11">
        <f>시험별비교!A16</f>
        <v>12</v>
      </c>
      <c r="N4" s="11">
        <f>시험별비교!A17</f>
        <v>13</v>
      </c>
      <c r="O4" s="11">
        <f>시험별비교!A18</f>
        <v>14</v>
      </c>
      <c r="P4" s="11">
        <f>시험별비교!A19</f>
        <v>15</v>
      </c>
      <c r="Q4" s="11">
        <f>시험별비교!A20</f>
        <v>16</v>
      </c>
      <c r="R4" s="11">
        <f>시험별비교!A21</f>
        <v>17</v>
      </c>
      <c r="S4" s="11">
        <f>시험별비교!A22</f>
        <v>18</v>
      </c>
      <c r="T4" s="11">
        <f>시험별비교!A23</f>
        <v>19</v>
      </c>
      <c r="U4" s="11">
        <f>시험별비교!A24</f>
        <v>20</v>
      </c>
      <c r="V4" s="11">
        <f>시험별비교!A25</f>
        <v>21</v>
      </c>
      <c r="W4" s="24" t="s">
        <v>263</v>
      </c>
      <c r="X4" s="24" t="s">
        <v>264</v>
      </c>
    </row>
    <row r="5" spans="1:24" ht="66" customHeight="1" x14ac:dyDescent="0.45">
      <c r="A5" s="14" t="s">
        <v>265</v>
      </c>
      <c r="B5" s="15" t="str">
        <f>시험별비교!E5</f>
        <v>BG-C477</v>
      </c>
      <c r="C5" s="15" t="str">
        <f>시험별비교!E6</f>
        <v>BG-75098, BGB-43395</v>
      </c>
      <c r="D5" s="15" t="str">
        <f>시험별비교!E7</f>
        <v>BG-C477</v>
      </c>
      <c r="E5" s="15" t="str">
        <f>시험별비교!E8</f>
        <v>BGB-43395</v>
      </c>
      <c r="F5" s="15" t="str">
        <f>시험별비교!E9</f>
        <v>BGB-11417(손로토클락스)</v>
      </c>
      <c r="G5" s="15" t="str">
        <f>시험별비교!E10</f>
        <v>BG-T187</v>
      </c>
      <c r="H5" s="15" t="str">
        <f>시험별비교!E11</f>
        <v>티슬렐리주맙(BGB-A317)</v>
      </c>
      <c r="I5" s="15" t="str">
        <f>시험별비교!E12</f>
        <v>BGB-16673</v>
      </c>
      <c r="J5" s="15" t="str">
        <f>시험별비교!E13</f>
        <v>BGB-16673</v>
      </c>
      <c r="K5" s="15" t="str">
        <f>시험별비교!E14</f>
        <v>BGB-53038, 티슬렐리주맙(BGB-A317)</v>
      </c>
      <c r="L5" s="15" t="str">
        <f>시험별비교!E15</f>
        <v>BGB-11417(손로토클락스)</v>
      </c>
      <c r="M5" s="15" t="str">
        <f>시험별비교!E16</f>
        <v>티슬렐리주맙(BGB-A317), BGB-A3055</v>
      </c>
      <c r="N5" s="15" t="str">
        <f>시험별비교!E17</f>
        <v>BG-60366</v>
      </c>
      <c r="O5" s="15" t="str">
        <f>시험별비교!E18</f>
        <v>BG-68501/BGB-43395</v>
      </c>
      <c r="P5" s="15" t="str">
        <f>시험별비교!E19</f>
        <v>BGB-11417(손로토클락스)</v>
      </c>
      <c r="Q5" s="15" t="str">
        <f>시험별비교!E20</f>
        <v>BGB-58067, 티슬렐리주맙(BGB-A317)</v>
      </c>
      <c r="R5" s="15" t="str">
        <f>시험별비교!E21</f>
        <v>BG-C137/BGB-A317(티슬렐리주맙)</v>
      </c>
      <c r="S5" s="15" t="str">
        <f>시험별비교!E22</f>
        <v>BGB-43395</v>
      </c>
      <c r="T5" s="15" t="str">
        <f>시험별비교!E23</f>
        <v>BGB-B2033/티슬렐리주맙(BGB-A317)</v>
      </c>
      <c r="U5" s="15" t="str">
        <f>시험별비교!E24</f>
        <v>BGB-11417(손로토클락스)</v>
      </c>
      <c r="V5" s="15" t="str">
        <f>시험별비교!E25</f>
        <v>BGB-A445, BGB-15025</v>
      </c>
      <c r="W5" s="25"/>
      <c r="X5" s="25"/>
    </row>
    <row r="6" spans="1:24" x14ac:dyDescent="0.45">
      <c r="A6" s="14" t="s">
        <v>76</v>
      </c>
      <c r="B6" s="15" t="str">
        <f>시험별비교!H5</f>
        <v>2상</v>
      </c>
      <c r="C6" s="15" t="str">
        <f>시험별비교!H6</f>
        <v>1상</v>
      </c>
      <c r="D6" s="15" t="str">
        <f>시험별비교!H7</f>
        <v>1상</v>
      </c>
      <c r="E6" s="15" t="str">
        <f>시험별비교!H8</f>
        <v>3상</v>
      </c>
      <c r="F6" s="15" t="str">
        <f>시험별비교!H9</f>
        <v>3상</v>
      </c>
      <c r="G6" s="15" t="str">
        <f>시험별비교!H10</f>
        <v>1상</v>
      </c>
      <c r="H6" s="15" t="str">
        <f>시험별비교!H11</f>
        <v>3상</v>
      </c>
      <c r="I6" s="15" t="str">
        <f>시험별비교!H12</f>
        <v>3상</v>
      </c>
      <c r="J6" s="15" t="str">
        <f>시험별비교!H13</f>
        <v>3상</v>
      </c>
      <c r="K6" s="15" t="str">
        <f>시험별비교!H14</f>
        <v>1상</v>
      </c>
      <c r="L6" s="15" t="str">
        <f>시험별비교!H15</f>
        <v>3상</v>
      </c>
      <c r="M6" s="15" t="str">
        <f>시험별비교!H16</f>
        <v>1상</v>
      </c>
      <c r="N6" s="15" t="str">
        <f>시험별비교!H17</f>
        <v>1상</v>
      </c>
      <c r="O6" s="15" t="str">
        <f>시험별비교!H18</f>
        <v>1상</v>
      </c>
      <c r="P6" s="15" t="str">
        <f>시험별비교!H19</f>
        <v>3상</v>
      </c>
      <c r="Q6" s="15" t="str">
        <f>시험별비교!H20</f>
        <v>1상</v>
      </c>
      <c r="R6" s="15" t="str">
        <f>시험별비교!H21</f>
        <v>1상</v>
      </c>
      <c r="S6" s="15" t="str">
        <f>시험별비교!H22</f>
        <v>1상</v>
      </c>
      <c r="T6" s="15" t="str">
        <f>시험별비교!H23</f>
        <v>1상</v>
      </c>
      <c r="U6" s="15" t="str">
        <f>시험별비교!H24</f>
        <v>3상</v>
      </c>
      <c r="V6" s="15" t="str">
        <f>시험별비교!H25</f>
        <v>2상</v>
      </c>
      <c r="W6" s="25"/>
      <c r="X6" s="25"/>
    </row>
    <row r="7" spans="1:24" x14ac:dyDescent="0.45">
      <c r="A7" s="14" t="s">
        <v>71</v>
      </c>
      <c r="B7" s="15" t="str">
        <f>시험별비교!C5</f>
        <v>진행중</v>
      </c>
      <c r="C7" s="15" t="str">
        <f>시험별비교!C6</f>
        <v>진행중</v>
      </c>
      <c r="D7" s="15" t="str">
        <f>시험별비교!C7</f>
        <v>진행중</v>
      </c>
      <c r="E7" s="15" t="str">
        <f>시험별비교!C8</f>
        <v>진행중</v>
      </c>
      <c r="F7" s="15" t="str">
        <f>시험별비교!C9</f>
        <v>진행중</v>
      </c>
      <c r="G7" s="15" t="str">
        <f>시험별비교!C10</f>
        <v>진행중</v>
      </c>
      <c r="H7" s="15" t="str">
        <f>시험별비교!C11</f>
        <v>진행중</v>
      </c>
      <c r="I7" s="15" t="str">
        <f>시험별비교!C12</f>
        <v>진행중</v>
      </c>
      <c r="J7" s="15" t="str">
        <f>시험별비교!C13</f>
        <v>진행중</v>
      </c>
      <c r="K7" s="15" t="str">
        <f>시험별비교!C14</f>
        <v>종료</v>
      </c>
      <c r="L7" s="15" t="str">
        <f>시험별비교!C15</f>
        <v>진행중</v>
      </c>
      <c r="M7" s="15" t="str">
        <f>시험별비교!C16</f>
        <v>종료</v>
      </c>
      <c r="N7" s="15" t="str">
        <f>시험별비교!C17</f>
        <v>종료</v>
      </c>
      <c r="O7" s="15" t="str">
        <f>시험별비교!C18</f>
        <v>종료</v>
      </c>
      <c r="P7" s="15" t="str">
        <f>시험별비교!C19</f>
        <v>진행중</v>
      </c>
      <c r="Q7" s="15" t="str">
        <f>시험별비교!C20</f>
        <v>진행중</v>
      </c>
      <c r="R7" s="15" t="str">
        <f>시험별비교!C21</f>
        <v>종료</v>
      </c>
      <c r="S7" s="15" t="str">
        <f>시험별비교!C22</f>
        <v>진행중</v>
      </c>
      <c r="T7" s="15" t="str">
        <f>시험별비교!C23</f>
        <v>진행중</v>
      </c>
      <c r="U7" s="15" t="str">
        <f>시험별비교!C24</f>
        <v>진행중</v>
      </c>
      <c r="V7" s="15" t="str">
        <f>시험별비교!C25</f>
        <v>종료</v>
      </c>
      <c r="W7" s="26"/>
      <c r="X7" s="26"/>
    </row>
    <row r="8" spans="1:24" x14ac:dyDescent="0.45">
      <c r="A8" s="16" t="s">
        <v>266</v>
      </c>
      <c r="B8" s="17">
        <v>1</v>
      </c>
      <c r="C8" s="17">
        <v>1</v>
      </c>
      <c r="D8" s="17"/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  <c r="O8" s="17">
        <v>1</v>
      </c>
      <c r="P8" s="17">
        <v>1</v>
      </c>
      <c r="Q8" s="17">
        <v>1</v>
      </c>
      <c r="R8" s="17">
        <v>1</v>
      </c>
      <c r="S8" s="17">
        <v>1</v>
      </c>
      <c r="T8" s="17">
        <v>1</v>
      </c>
      <c r="U8" s="17">
        <v>1</v>
      </c>
      <c r="V8" s="17">
        <v>1</v>
      </c>
      <c r="W8" s="18">
        <f t="shared" ref="W8:W37" si="0">SUMPRODUCT(($B$7:$V$7="진행중")*(B8:V8))</f>
        <v>14</v>
      </c>
      <c r="X8" s="17">
        <f t="shared" ref="X8:X37" si="1">SUM(B8:V8)</f>
        <v>20</v>
      </c>
    </row>
    <row r="9" spans="1:24" x14ac:dyDescent="0.45">
      <c r="A9" s="16" t="s">
        <v>267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/>
      <c r="K9" s="17">
        <v>1</v>
      </c>
      <c r="L9" s="17">
        <v>1</v>
      </c>
      <c r="M9" s="17">
        <v>1</v>
      </c>
      <c r="N9" s="17">
        <v>1</v>
      </c>
      <c r="O9" s="17">
        <v>1</v>
      </c>
      <c r="P9" s="17">
        <v>1</v>
      </c>
      <c r="Q9" s="17">
        <v>1</v>
      </c>
      <c r="R9" s="17">
        <v>1</v>
      </c>
      <c r="S9" s="17">
        <v>1</v>
      </c>
      <c r="T9" s="17">
        <v>1</v>
      </c>
      <c r="U9" s="17">
        <v>1</v>
      </c>
      <c r="V9" s="17">
        <v>1</v>
      </c>
      <c r="W9" s="18">
        <f t="shared" si="0"/>
        <v>14</v>
      </c>
      <c r="X9" s="17">
        <f t="shared" si="1"/>
        <v>20</v>
      </c>
    </row>
    <row r="10" spans="1:24" x14ac:dyDescent="0.45">
      <c r="A10" s="16" t="s">
        <v>268</v>
      </c>
      <c r="B10" s="17">
        <v>1</v>
      </c>
      <c r="C10" s="17">
        <v>1</v>
      </c>
      <c r="D10" s="17">
        <v>1</v>
      </c>
      <c r="E10" s="17">
        <v>1</v>
      </c>
      <c r="F10" s="17"/>
      <c r="G10" s="17">
        <v>1</v>
      </c>
      <c r="H10" s="17">
        <v>1</v>
      </c>
      <c r="I10" s="17"/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7">
        <v>1</v>
      </c>
      <c r="R10" s="17">
        <v>1</v>
      </c>
      <c r="S10" s="17">
        <v>1</v>
      </c>
      <c r="T10" s="17">
        <v>1</v>
      </c>
      <c r="U10" s="17">
        <v>1</v>
      </c>
      <c r="V10" s="17">
        <v>1</v>
      </c>
      <c r="W10" s="18">
        <f t="shared" si="0"/>
        <v>13</v>
      </c>
      <c r="X10" s="17">
        <f t="shared" si="1"/>
        <v>19</v>
      </c>
    </row>
    <row r="11" spans="1:24" x14ac:dyDescent="0.45">
      <c r="A11" s="16" t="s">
        <v>269</v>
      </c>
      <c r="B11" s="17">
        <v>1</v>
      </c>
      <c r="C11" s="17"/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/>
      <c r="K11" s="17">
        <v>1</v>
      </c>
      <c r="L11" s="17">
        <v>1</v>
      </c>
      <c r="M11" s="17">
        <v>1</v>
      </c>
      <c r="N11" s="17"/>
      <c r="O11" s="17">
        <v>1</v>
      </c>
      <c r="P11" s="17">
        <v>1</v>
      </c>
      <c r="Q11" s="17">
        <v>1</v>
      </c>
      <c r="R11" s="17">
        <v>1</v>
      </c>
      <c r="S11" s="17">
        <v>1</v>
      </c>
      <c r="T11" s="17">
        <v>1</v>
      </c>
      <c r="U11" s="17">
        <v>1</v>
      </c>
      <c r="V11" s="17"/>
      <c r="W11" s="18">
        <f t="shared" si="0"/>
        <v>13</v>
      </c>
      <c r="X11" s="17">
        <f t="shared" si="1"/>
        <v>17</v>
      </c>
    </row>
    <row r="12" spans="1:24" x14ac:dyDescent="0.45">
      <c r="A12" s="16" t="s">
        <v>270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/>
      <c r="J12" s="17"/>
      <c r="K12" s="17">
        <v>1</v>
      </c>
      <c r="L12" s="17"/>
      <c r="M12" s="17">
        <v>1</v>
      </c>
      <c r="N12" s="17"/>
      <c r="O12" s="17">
        <v>1</v>
      </c>
      <c r="P12" s="17">
        <v>1</v>
      </c>
      <c r="Q12" s="17">
        <v>1</v>
      </c>
      <c r="R12" s="17">
        <v>1</v>
      </c>
      <c r="S12" s="17">
        <v>1</v>
      </c>
      <c r="T12" s="17">
        <v>1</v>
      </c>
      <c r="U12" s="17">
        <v>1</v>
      </c>
      <c r="V12" s="17">
        <v>1</v>
      </c>
      <c r="W12" s="18">
        <f t="shared" si="0"/>
        <v>12</v>
      </c>
      <c r="X12" s="17">
        <f t="shared" si="1"/>
        <v>17</v>
      </c>
    </row>
    <row r="13" spans="1:24" x14ac:dyDescent="0.45">
      <c r="A13" s="16" t="s">
        <v>271</v>
      </c>
      <c r="B13" s="17"/>
      <c r="C13" s="17"/>
      <c r="D13" s="17"/>
      <c r="E13" s="17">
        <v>1</v>
      </c>
      <c r="F13" s="17">
        <v>1</v>
      </c>
      <c r="G13" s="17">
        <v>1</v>
      </c>
      <c r="H13" s="17"/>
      <c r="I13" s="17">
        <v>1</v>
      </c>
      <c r="J13" s="17">
        <v>1</v>
      </c>
      <c r="K13" s="17"/>
      <c r="L13" s="17">
        <v>1</v>
      </c>
      <c r="M13" s="17"/>
      <c r="N13" s="17"/>
      <c r="O13" s="17"/>
      <c r="P13" s="17">
        <v>1</v>
      </c>
      <c r="Q13" s="17"/>
      <c r="R13" s="17"/>
      <c r="S13" s="17">
        <v>1</v>
      </c>
      <c r="T13" s="17"/>
      <c r="U13" s="17">
        <v>1</v>
      </c>
      <c r="V13" s="17"/>
      <c r="W13" s="18">
        <f t="shared" si="0"/>
        <v>9</v>
      </c>
      <c r="X13" s="17">
        <f t="shared" si="1"/>
        <v>9</v>
      </c>
    </row>
    <row r="14" spans="1:24" x14ac:dyDescent="0.45">
      <c r="A14" s="16" t="s">
        <v>272</v>
      </c>
      <c r="B14" s="17">
        <v>1</v>
      </c>
      <c r="C14" s="17">
        <v>1</v>
      </c>
      <c r="D14" s="17"/>
      <c r="E14" s="17">
        <v>1</v>
      </c>
      <c r="F14" s="17"/>
      <c r="G14" s="17"/>
      <c r="H14" s="17"/>
      <c r="I14" s="17"/>
      <c r="J14" s="17">
        <v>1</v>
      </c>
      <c r="K14" s="17"/>
      <c r="L14" s="17">
        <v>1</v>
      </c>
      <c r="M14" s="17"/>
      <c r="N14" s="17"/>
      <c r="O14" s="17">
        <v>1</v>
      </c>
      <c r="P14" s="17"/>
      <c r="Q14" s="17"/>
      <c r="R14" s="17"/>
      <c r="S14" s="17"/>
      <c r="T14" s="17"/>
      <c r="U14" s="17">
        <v>1</v>
      </c>
      <c r="V14" s="17">
        <v>1</v>
      </c>
      <c r="W14" s="18">
        <f t="shared" si="0"/>
        <v>6</v>
      </c>
      <c r="X14" s="17">
        <f t="shared" si="1"/>
        <v>8</v>
      </c>
    </row>
    <row r="15" spans="1:24" x14ac:dyDescent="0.45">
      <c r="A15" s="16" t="s">
        <v>273</v>
      </c>
      <c r="B15" s="17"/>
      <c r="C15" s="17"/>
      <c r="D15" s="17"/>
      <c r="E15" s="17"/>
      <c r="F15" s="17"/>
      <c r="G15" s="17"/>
      <c r="H15" s="17"/>
      <c r="I15" s="17">
        <v>1</v>
      </c>
      <c r="J15" s="17"/>
      <c r="K15" s="17"/>
      <c r="L15" s="17">
        <v>1</v>
      </c>
      <c r="M15" s="17"/>
      <c r="N15" s="17"/>
      <c r="O15" s="17"/>
      <c r="P15" s="17">
        <v>1</v>
      </c>
      <c r="Q15" s="17"/>
      <c r="R15" s="17"/>
      <c r="S15" s="17"/>
      <c r="T15" s="17"/>
      <c r="U15" s="17">
        <v>1</v>
      </c>
      <c r="V15" s="17"/>
      <c r="W15" s="18">
        <f t="shared" si="0"/>
        <v>4</v>
      </c>
      <c r="X15" s="17">
        <f t="shared" si="1"/>
        <v>4</v>
      </c>
    </row>
    <row r="16" spans="1:24" x14ac:dyDescent="0.45">
      <c r="A16" s="16" t="s">
        <v>274</v>
      </c>
      <c r="B16" s="17"/>
      <c r="C16" s="17"/>
      <c r="D16" s="17"/>
      <c r="E16" s="17">
        <v>1</v>
      </c>
      <c r="F16" s="17"/>
      <c r="G16" s="17">
        <v>1</v>
      </c>
      <c r="H16" s="17"/>
      <c r="I16" s="17"/>
      <c r="J16" s="17"/>
      <c r="K16" s="17"/>
      <c r="L16" s="17"/>
      <c r="M16" s="17"/>
      <c r="N16" s="17"/>
      <c r="O16" s="17"/>
      <c r="P16" s="17"/>
      <c r="Q16" s="17">
        <v>1</v>
      </c>
      <c r="R16" s="17">
        <v>1</v>
      </c>
      <c r="S16" s="17"/>
      <c r="T16" s="17"/>
      <c r="U16" s="17"/>
      <c r="V16" s="17">
        <v>1</v>
      </c>
      <c r="W16" s="18">
        <f t="shared" si="0"/>
        <v>3</v>
      </c>
      <c r="X16" s="17">
        <f t="shared" si="1"/>
        <v>5</v>
      </c>
    </row>
    <row r="17" spans="1:24" x14ac:dyDescent="0.45">
      <c r="A17" s="16" t="s">
        <v>275</v>
      </c>
      <c r="B17" s="17"/>
      <c r="C17" s="17"/>
      <c r="D17" s="17"/>
      <c r="E17" s="17">
        <v>1</v>
      </c>
      <c r="F17" s="17"/>
      <c r="G17" s="17"/>
      <c r="H17" s="17"/>
      <c r="I17" s="17"/>
      <c r="J17" s="17">
        <v>1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>
        <v>1</v>
      </c>
      <c r="V17" s="17"/>
      <c r="W17" s="18">
        <f t="shared" si="0"/>
        <v>3</v>
      </c>
      <c r="X17" s="17">
        <f t="shared" si="1"/>
        <v>3</v>
      </c>
    </row>
    <row r="18" spans="1:24" x14ac:dyDescent="0.45">
      <c r="A18" s="16" t="s">
        <v>276</v>
      </c>
      <c r="B18" s="17"/>
      <c r="C18" s="17"/>
      <c r="D18" s="17"/>
      <c r="E18" s="17">
        <v>1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>
        <v>1</v>
      </c>
      <c r="S18" s="17">
        <v>1</v>
      </c>
      <c r="T18" s="17"/>
      <c r="U18" s="17"/>
      <c r="V18" s="17">
        <v>1</v>
      </c>
      <c r="W18" s="18">
        <f t="shared" si="0"/>
        <v>2</v>
      </c>
      <c r="X18" s="17">
        <f t="shared" si="1"/>
        <v>4</v>
      </c>
    </row>
    <row r="19" spans="1:24" x14ac:dyDescent="0.45">
      <c r="A19" s="16" t="s">
        <v>277</v>
      </c>
      <c r="B19" s="17"/>
      <c r="C19" s="17"/>
      <c r="D19" s="17"/>
      <c r="E19" s="17">
        <v>1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>
        <v>1</v>
      </c>
      <c r="S19" s="17"/>
      <c r="T19" s="17">
        <v>1</v>
      </c>
      <c r="U19" s="17"/>
      <c r="V19" s="17">
        <v>1</v>
      </c>
      <c r="W19" s="18">
        <f t="shared" si="0"/>
        <v>2</v>
      </c>
      <c r="X19" s="17">
        <f t="shared" si="1"/>
        <v>4</v>
      </c>
    </row>
    <row r="20" spans="1:24" x14ac:dyDescent="0.45">
      <c r="A20" s="16" t="s">
        <v>278</v>
      </c>
      <c r="B20" s="17"/>
      <c r="C20" s="17"/>
      <c r="D20" s="17"/>
      <c r="E20" s="17">
        <v>1</v>
      </c>
      <c r="F20" s="17"/>
      <c r="G20" s="17"/>
      <c r="H20" s="17"/>
      <c r="I20" s="17"/>
      <c r="J20" s="17"/>
      <c r="K20" s="17"/>
      <c r="L20" s="17"/>
      <c r="M20" s="17"/>
      <c r="N20" s="17">
        <v>1</v>
      </c>
      <c r="O20" s="17"/>
      <c r="P20" s="17"/>
      <c r="Q20" s="17"/>
      <c r="R20" s="17"/>
      <c r="S20" s="17"/>
      <c r="T20" s="17">
        <v>1</v>
      </c>
      <c r="U20" s="17"/>
      <c r="V20" s="17">
        <v>1</v>
      </c>
      <c r="W20" s="18">
        <f t="shared" si="0"/>
        <v>2</v>
      </c>
      <c r="X20" s="17">
        <f t="shared" si="1"/>
        <v>4</v>
      </c>
    </row>
    <row r="21" spans="1:24" x14ac:dyDescent="0.45">
      <c r="A21" s="16" t="s">
        <v>279</v>
      </c>
      <c r="B21" s="17"/>
      <c r="C21" s="17"/>
      <c r="D21" s="17"/>
      <c r="E21" s="17"/>
      <c r="F21" s="17"/>
      <c r="G21" s="17"/>
      <c r="H21" s="17"/>
      <c r="I21" s="17">
        <v>1</v>
      </c>
      <c r="J21" s="17">
        <v>1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>
        <v>1</v>
      </c>
      <c r="W21" s="18">
        <f t="shared" si="0"/>
        <v>2</v>
      </c>
      <c r="X21" s="17">
        <f t="shared" si="1"/>
        <v>3</v>
      </c>
    </row>
    <row r="22" spans="1:24" x14ac:dyDescent="0.45">
      <c r="A22" s="16" t="s">
        <v>280</v>
      </c>
      <c r="B22" s="17"/>
      <c r="C22" s="17"/>
      <c r="D22" s="17"/>
      <c r="E22" s="17">
        <v>1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>
        <v>1</v>
      </c>
      <c r="T22" s="17"/>
      <c r="U22" s="17"/>
      <c r="V22" s="17"/>
      <c r="W22" s="18">
        <f t="shared" si="0"/>
        <v>2</v>
      </c>
      <c r="X22" s="17">
        <f t="shared" si="1"/>
        <v>2</v>
      </c>
    </row>
    <row r="23" spans="1:24" x14ac:dyDescent="0.45">
      <c r="A23" s="16" t="s">
        <v>281</v>
      </c>
      <c r="B23" s="17"/>
      <c r="C23" s="17"/>
      <c r="D23" s="17"/>
      <c r="E23" s="17">
        <v>1</v>
      </c>
      <c r="F23" s="17"/>
      <c r="G23" s="17"/>
      <c r="H23" s="17"/>
      <c r="I23" s="17"/>
      <c r="J23" s="17">
        <v>1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>
        <f t="shared" si="0"/>
        <v>2</v>
      </c>
      <c r="X23" s="17">
        <f t="shared" si="1"/>
        <v>2</v>
      </c>
    </row>
    <row r="24" spans="1:24" x14ac:dyDescent="0.45">
      <c r="A24" s="16" t="s">
        <v>282</v>
      </c>
      <c r="B24" s="17"/>
      <c r="C24" s="17"/>
      <c r="D24" s="17"/>
      <c r="E24" s="17"/>
      <c r="F24" s="17"/>
      <c r="G24" s="17"/>
      <c r="H24" s="17"/>
      <c r="I24" s="17"/>
      <c r="J24" s="17">
        <v>1</v>
      </c>
      <c r="K24" s="17"/>
      <c r="L24" s="17"/>
      <c r="M24" s="17"/>
      <c r="N24" s="17"/>
      <c r="O24" s="17"/>
      <c r="P24" s="17">
        <v>1</v>
      </c>
      <c r="Q24" s="17"/>
      <c r="R24" s="17"/>
      <c r="S24" s="17"/>
      <c r="T24" s="17"/>
      <c r="U24" s="17"/>
      <c r="V24" s="17"/>
      <c r="W24" s="18">
        <f t="shared" si="0"/>
        <v>2</v>
      </c>
      <c r="X24" s="17">
        <f t="shared" si="1"/>
        <v>2</v>
      </c>
    </row>
    <row r="25" spans="1:24" x14ac:dyDescent="0.45">
      <c r="A25" s="16" t="s">
        <v>283</v>
      </c>
      <c r="B25" s="17"/>
      <c r="C25" s="17"/>
      <c r="D25" s="17"/>
      <c r="E25" s="17">
        <v>1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>
        <v>1</v>
      </c>
      <c r="S25" s="17"/>
      <c r="T25" s="17"/>
      <c r="U25" s="17"/>
      <c r="V25" s="17"/>
      <c r="W25" s="18">
        <f t="shared" si="0"/>
        <v>1</v>
      </c>
      <c r="X25" s="17">
        <f t="shared" si="1"/>
        <v>2</v>
      </c>
    </row>
    <row r="26" spans="1:24" x14ac:dyDescent="0.45">
      <c r="A26" s="16" t="s">
        <v>284</v>
      </c>
      <c r="B26" s="17"/>
      <c r="C26" s="17"/>
      <c r="D26" s="17"/>
      <c r="E26" s="17"/>
      <c r="F26" s="17"/>
      <c r="G26" s="17"/>
      <c r="H26" s="17">
        <v>1</v>
      </c>
      <c r="I26" s="17"/>
      <c r="J26" s="17"/>
      <c r="K26" s="17"/>
      <c r="L26" s="17"/>
      <c r="M26" s="17"/>
      <c r="N26" s="17"/>
      <c r="O26" s="17"/>
      <c r="P26" s="17"/>
      <c r="Q26" s="17"/>
      <c r="R26" s="17">
        <v>1</v>
      </c>
      <c r="S26" s="17"/>
      <c r="T26" s="17"/>
      <c r="U26" s="17"/>
      <c r="V26" s="17"/>
      <c r="W26" s="18">
        <f t="shared" si="0"/>
        <v>1</v>
      </c>
      <c r="X26" s="17">
        <f t="shared" si="1"/>
        <v>2</v>
      </c>
    </row>
    <row r="27" spans="1:24" x14ac:dyDescent="0.45">
      <c r="A27" s="16" t="s">
        <v>285</v>
      </c>
      <c r="B27" s="17"/>
      <c r="C27" s="17"/>
      <c r="D27" s="17"/>
      <c r="E27" s="17"/>
      <c r="F27" s="17"/>
      <c r="G27" s="17"/>
      <c r="H27" s="17"/>
      <c r="I27" s="17"/>
      <c r="J27" s="17">
        <v>1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>
        <f t="shared" si="0"/>
        <v>1</v>
      </c>
      <c r="X27" s="17">
        <f t="shared" si="1"/>
        <v>1</v>
      </c>
    </row>
    <row r="28" spans="1:24" x14ac:dyDescent="0.45">
      <c r="A28" s="16" t="s">
        <v>286</v>
      </c>
      <c r="B28" s="17"/>
      <c r="C28" s="17"/>
      <c r="D28" s="17"/>
      <c r="E28" s="17">
        <v>1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>
        <f t="shared" si="0"/>
        <v>1</v>
      </c>
      <c r="X28" s="17">
        <f t="shared" si="1"/>
        <v>1</v>
      </c>
    </row>
    <row r="29" spans="1:24" x14ac:dyDescent="0.45">
      <c r="A29" s="16" t="s">
        <v>287</v>
      </c>
      <c r="B29" s="17"/>
      <c r="C29" s="17"/>
      <c r="D29" s="17"/>
      <c r="E29" s="17">
        <v>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>
        <f t="shared" si="0"/>
        <v>1</v>
      </c>
      <c r="X29" s="17">
        <f t="shared" si="1"/>
        <v>1</v>
      </c>
    </row>
    <row r="30" spans="1:24" x14ac:dyDescent="0.45">
      <c r="A30" s="16" t="s">
        <v>288</v>
      </c>
      <c r="B30" s="17"/>
      <c r="C30" s="17"/>
      <c r="D30" s="17"/>
      <c r="E30" s="17"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>
        <f t="shared" si="0"/>
        <v>1</v>
      </c>
      <c r="X30" s="17">
        <f t="shared" si="1"/>
        <v>1</v>
      </c>
    </row>
    <row r="31" spans="1:24" x14ac:dyDescent="0.45">
      <c r="A31" s="16" t="s">
        <v>289</v>
      </c>
      <c r="B31" s="17"/>
      <c r="C31" s="17"/>
      <c r="D31" s="17"/>
      <c r="E31" s="17">
        <v>1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>
        <f t="shared" si="0"/>
        <v>1</v>
      </c>
      <c r="X31" s="17">
        <f t="shared" si="1"/>
        <v>1</v>
      </c>
    </row>
    <row r="32" spans="1:24" x14ac:dyDescent="0.45">
      <c r="A32" s="16" t="s">
        <v>290</v>
      </c>
      <c r="B32" s="17"/>
      <c r="C32" s="17"/>
      <c r="D32" s="17"/>
      <c r="E32" s="17">
        <v>1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>
        <f t="shared" si="0"/>
        <v>1</v>
      </c>
      <c r="X32" s="17">
        <f t="shared" si="1"/>
        <v>1</v>
      </c>
    </row>
    <row r="33" spans="1:24" x14ac:dyDescent="0.45">
      <c r="A33" s="16" t="s">
        <v>291</v>
      </c>
      <c r="B33" s="17"/>
      <c r="C33" s="17"/>
      <c r="D33" s="17"/>
      <c r="E33" s="17">
        <v>1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>
        <f t="shared" si="0"/>
        <v>1</v>
      </c>
      <c r="X33" s="17">
        <f t="shared" si="1"/>
        <v>1</v>
      </c>
    </row>
    <row r="34" spans="1:24" x14ac:dyDescent="0.45">
      <c r="A34" s="16" t="s">
        <v>292</v>
      </c>
      <c r="B34" s="17"/>
      <c r="C34" s="17"/>
      <c r="D34" s="17"/>
      <c r="E34" s="17">
        <v>1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>
        <f t="shared" si="0"/>
        <v>1</v>
      </c>
      <c r="X34" s="17">
        <f t="shared" si="1"/>
        <v>1</v>
      </c>
    </row>
    <row r="35" spans="1:24" x14ac:dyDescent="0.45">
      <c r="A35" s="16" t="s">
        <v>293</v>
      </c>
      <c r="B35" s="17"/>
      <c r="C35" s="17"/>
      <c r="D35" s="17"/>
      <c r="E35" s="17">
        <v>1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>
        <f t="shared" si="0"/>
        <v>1</v>
      </c>
      <c r="X35" s="17">
        <f t="shared" si="1"/>
        <v>1</v>
      </c>
    </row>
    <row r="36" spans="1:24" x14ac:dyDescent="0.45">
      <c r="A36" s="16" t="s">
        <v>294</v>
      </c>
      <c r="B36" s="17"/>
      <c r="C36" s="17"/>
      <c r="D36" s="17"/>
      <c r="E36" s="17">
        <v>1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>
        <f t="shared" si="0"/>
        <v>1</v>
      </c>
      <c r="X36" s="17">
        <f t="shared" si="1"/>
        <v>1</v>
      </c>
    </row>
    <row r="37" spans="1:24" x14ac:dyDescent="0.45">
      <c r="A37" s="16" t="s">
        <v>295</v>
      </c>
      <c r="B37" s="17"/>
      <c r="C37" s="17"/>
      <c r="D37" s="17"/>
      <c r="E37" s="17">
        <v>1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>
        <f t="shared" si="0"/>
        <v>1</v>
      </c>
      <c r="X37" s="17">
        <f t="shared" si="1"/>
        <v>1</v>
      </c>
    </row>
    <row r="38" spans="1:24" x14ac:dyDescent="0.45">
      <c r="A38" s="19" t="s">
        <v>296</v>
      </c>
      <c r="B38" s="20">
        <f t="shared" ref="B38:V38" si="2">SUM(B8:B37)</f>
        <v>6</v>
      </c>
      <c r="C38" s="20">
        <f t="shared" si="2"/>
        <v>5</v>
      </c>
      <c r="D38" s="20">
        <f t="shared" si="2"/>
        <v>4</v>
      </c>
      <c r="E38" s="20">
        <f t="shared" si="2"/>
        <v>25</v>
      </c>
      <c r="F38" s="20">
        <f t="shared" si="2"/>
        <v>5</v>
      </c>
      <c r="G38" s="20">
        <f t="shared" si="2"/>
        <v>7</v>
      </c>
      <c r="H38" s="20">
        <f t="shared" si="2"/>
        <v>6</v>
      </c>
      <c r="I38" s="20">
        <f t="shared" si="2"/>
        <v>6</v>
      </c>
      <c r="J38" s="20">
        <f t="shared" si="2"/>
        <v>9</v>
      </c>
      <c r="K38" s="20">
        <f t="shared" si="2"/>
        <v>5</v>
      </c>
      <c r="L38" s="20">
        <f t="shared" si="2"/>
        <v>7</v>
      </c>
      <c r="M38" s="20">
        <f t="shared" si="2"/>
        <v>5</v>
      </c>
      <c r="N38" s="20">
        <f t="shared" si="2"/>
        <v>4</v>
      </c>
      <c r="O38" s="20">
        <f t="shared" si="2"/>
        <v>6</v>
      </c>
      <c r="P38" s="20">
        <f t="shared" si="2"/>
        <v>8</v>
      </c>
      <c r="Q38" s="20">
        <f t="shared" si="2"/>
        <v>6</v>
      </c>
      <c r="R38" s="20">
        <f t="shared" si="2"/>
        <v>10</v>
      </c>
      <c r="S38" s="20">
        <f t="shared" si="2"/>
        <v>8</v>
      </c>
      <c r="T38" s="20">
        <f t="shared" si="2"/>
        <v>7</v>
      </c>
      <c r="U38" s="20">
        <f t="shared" si="2"/>
        <v>9</v>
      </c>
      <c r="V38" s="20">
        <f t="shared" si="2"/>
        <v>10</v>
      </c>
      <c r="W38" s="21"/>
      <c r="X38" s="21"/>
    </row>
    <row r="39" spans="1:24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45">
      <c r="A40" s="10" t="s">
        <v>297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45">
      <c r="A41" s="10" t="s">
        <v>298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45">
      <c r="A42" s="10" t="s">
        <v>299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</sheetData>
  <mergeCells count="2">
    <mergeCell ref="W4:W7"/>
    <mergeCell ref="X4:X7"/>
  </mergeCells>
  <phoneticPr fontId="8" type="noConversion"/>
  <conditionalFormatting sqref="B8:V37">
    <cfRule type="expression" dxfId="5" priority="1">
      <formula>AND(B8=1,B$7="진행중")</formula>
    </cfRule>
    <cfRule type="expression" dxfId="4" priority="2">
      <formula>AND(B8=1,B$7="종료")</formula>
    </cfRule>
  </conditionalFormatting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96"/>
  <sheetViews>
    <sheetView showGridLines="0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2" width="8" customWidth="1"/>
    <col min="3" max="3" width="15" customWidth="1"/>
    <col min="4" max="4" width="18" customWidth="1"/>
    <col min="5" max="5" width="20" customWidth="1"/>
    <col min="6" max="6" width="18" customWidth="1"/>
    <col min="7" max="7" width="7" customWidth="1"/>
    <col min="8" max="8" width="13" customWidth="1"/>
    <col min="9" max="9" width="30" customWidth="1"/>
    <col min="10" max="10" width="9" customWidth="1"/>
    <col min="11" max="11" width="18" customWidth="1"/>
    <col min="12" max="13" width="28" customWidth="1"/>
    <col min="14" max="14" width="20" customWidth="1"/>
    <col min="15" max="16" width="9" customWidth="1"/>
    <col min="17" max="17" width="11" customWidth="1"/>
    <col min="18" max="18" width="42" customWidth="1"/>
  </cols>
  <sheetData>
    <row r="1" spans="1:18" ht="25.5" x14ac:dyDescent="0.7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45">
      <c r="A2" s="3" t="s">
        <v>301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0" customHeight="1" x14ac:dyDescent="0.45">
      <c r="A4" s="11" t="s">
        <v>302</v>
      </c>
      <c r="B4" s="11" t="s">
        <v>75</v>
      </c>
      <c r="C4" s="11" t="s">
        <v>303</v>
      </c>
      <c r="D4" s="11" t="s">
        <v>74</v>
      </c>
      <c r="E4" s="11" t="s">
        <v>304</v>
      </c>
      <c r="F4" s="11" t="s">
        <v>305</v>
      </c>
      <c r="G4" s="11" t="s">
        <v>76</v>
      </c>
      <c r="H4" s="11" t="s">
        <v>79</v>
      </c>
      <c r="I4" s="11" t="s">
        <v>306</v>
      </c>
      <c r="J4" s="11" t="s">
        <v>307</v>
      </c>
      <c r="K4" s="11" t="s">
        <v>308</v>
      </c>
      <c r="L4" s="11" t="s">
        <v>309</v>
      </c>
      <c r="M4" s="11" t="s">
        <v>310</v>
      </c>
      <c r="N4" s="11" t="s">
        <v>80</v>
      </c>
      <c r="O4" s="11" t="s">
        <v>311</v>
      </c>
      <c r="P4" s="11" t="s">
        <v>312</v>
      </c>
      <c r="Q4" s="11" t="s">
        <v>313</v>
      </c>
      <c r="R4" s="11" t="s">
        <v>84</v>
      </c>
    </row>
    <row r="5" spans="1:18" ht="32" x14ac:dyDescent="0.45">
      <c r="A5" s="12">
        <v>12</v>
      </c>
      <c r="B5" s="12" t="s">
        <v>132</v>
      </c>
      <c r="C5" s="7" t="s">
        <v>314</v>
      </c>
      <c r="D5" s="7" t="s">
        <v>315</v>
      </c>
      <c r="E5" s="7" t="s">
        <v>316</v>
      </c>
      <c r="F5" s="7" t="s">
        <v>317</v>
      </c>
      <c r="G5" s="12" t="s">
        <v>318</v>
      </c>
      <c r="H5" s="7" t="s">
        <v>319</v>
      </c>
      <c r="I5" s="7" t="s">
        <v>320</v>
      </c>
      <c r="J5" s="22">
        <v>784</v>
      </c>
      <c r="K5" s="7"/>
      <c r="L5" s="7" t="s">
        <v>321</v>
      </c>
      <c r="M5" s="7" t="s">
        <v>322</v>
      </c>
      <c r="N5" s="7" t="s">
        <v>323</v>
      </c>
      <c r="O5" s="12" t="str">
        <f t="shared" ref="O5:O36" si="0">IF(ISNUMBER(SEARCH("Approved",N5)),"승인",IF(N5="Closeout","종료",IF(N5="Maintenance","유지","진행")))</f>
        <v>승인</v>
      </c>
      <c r="P5" s="12"/>
      <c r="Q5" s="12" t="str">
        <f>IF(P5="","",INDEX(시험별비교!$B$5:$B$25,MATCH(P5,시험별비교!$A$5:$A$25,0)))</f>
        <v/>
      </c>
      <c r="R5" s="7"/>
    </row>
    <row r="6" spans="1:18" x14ac:dyDescent="0.45">
      <c r="A6" s="12">
        <v>12</v>
      </c>
      <c r="B6" s="12" t="s">
        <v>132</v>
      </c>
      <c r="C6" s="7" t="s">
        <v>314</v>
      </c>
      <c r="D6" s="7" t="s">
        <v>315</v>
      </c>
      <c r="E6" s="7" t="s">
        <v>324</v>
      </c>
      <c r="F6" s="7" t="s">
        <v>325</v>
      </c>
      <c r="G6" s="12" t="s">
        <v>318</v>
      </c>
      <c r="H6" s="7" t="s">
        <v>326</v>
      </c>
      <c r="I6" s="7" t="s">
        <v>327</v>
      </c>
      <c r="J6" s="22">
        <v>510</v>
      </c>
      <c r="K6" s="7"/>
      <c r="L6" s="7" t="s">
        <v>328</v>
      </c>
      <c r="M6" s="7" t="s">
        <v>322</v>
      </c>
      <c r="N6" s="7" t="s">
        <v>245</v>
      </c>
      <c r="O6" s="12" t="str">
        <f t="shared" si="0"/>
        <v>유지</v>
      </c>
      <c r="P6" s="12"/>
      <c r="Q6" s="12" t="str">
        <f>IF(P6="","",INDEX(시험별비교!$B$5:$B$25,MATCH(P6,시험별비교!$A$5:$A$25,0)))</f>
        <v/>
      </c>
      <c r="R6" s="7"/>
    </row>
    <row r="7" spans="1:18" x14ac:dyDescent="0.45">
      <c r="A7" s="12">
        <v>12</v>
      </c>
      <c r="B7" s="12" t="s">
        <v>132</v>
      </c>
      <c r="C7" s="7" t="s">
        <v>314</v>
      </c>
      <c r="D7" s="7" t="s">
        <v>315</v>
      </c>
      <c r="E7" s="7" t="s">
        <v>329</v>
      </c>
      <c r="F7" s="7" t="s">
        <v>330</v>
      </c>
      <c r="G7" s="12" t="s">
        <v>318</v>
      </c>
      <c r="H7" s="7" t="s">
        <v>331</v>
      </c>
      <c r="I7" s="7" t="s">
        <v>332</v>
      </c>
      <c r="J7" s="22">
        <v>799</v>
      </c>
      <c r="K7" s="7"/>
      <c r="L7" s="7" t="s">
        <v>333</v>
      </c>
      <c r="M7" s="7" t="s">
        <v>322</v>
      </c>
      <c r="N7" s="7" t="s">
        <v>245</v>
      </c>
      <c r="O7" s="12" t="str">
        <f t="shared" si="0"/>
        <v>유지</v>
      </c>
      <c r="P7" s="12"/>
      <c r="Q7" s="12" t="str">
        <f>IF(P7="","",INDEX(시험별비교!$B$5:$B$25,MATCH(P7,시험별비교!$A$5:$A$25,0)))</f>
        <v/>
      </c>
      <c r="R7" s="7"/>
    </row>
    <row r="8" spans="1:18" x14ac:dyDescent="0.45">
      <c r="A8" s="12">
        <v>12</v>
      </c>
      <c r="B8" s="12" t="s">
        <v>132</v>
      </c>
      <c r="C8" s="7" t="s">
        <v>314</v>
      </c>
      <c r="D8" s="7" t="s">
        <v>315</v>
      </c>
      <c r="E8" s="7" t="s">
        <v>334</v>
      </c>
      <c r="F8" s="7"/>
      <c r="G8" s="12" t="s">
        <v>318</v>
      </c>
      <c r="H8" s="7" t="s">
        <v>335</v>
      </c>
      <c r="I8" s="7" t="s">
        <v>336</v>
      </c>
      <c r="J8" s="22">
        <v>956</v>
      </c>
      <c r="K8" s="7"/>
      <c r="L8" s="7"/>
      <c r="M8" s="7" t="s">
        <v>337</v>
      </c>
      <c r="N8" s="7" t="s">
        <v>245</v>
      </c>
      <c r="O8" s="12" t="str">
        <f t="shared" si="0"/>
        <v>유지</v>
      </c>
      <c r="P8" s="12"/>
      <c r="Q8" s="12" t="str">
        <f>IF(P8="","",INDEX(시험별비교!$B$5:$B$25,MATCH(P8,시험별비교!$A$5:$A$25,0)))</f>
        <v/>
      </c>
      <c r="R8" s="7"/>
    </row>
    <row r="9" spans="1:18" x14ac:dyDescent="0.45">
      <c r="A9" s="12">
        <v>12</v>
      </c>
      <c r="B9" s="12" t="s">
        <v>132</v>
      </c>
      <c r="C9" s="7" t="s">
        <v>314</v>
      </c>
      <c r="D9" s="7" t="s">
        <v>315</v>
      </c>
      <c r="E9" s="7" t="s">
        <v>338</v>
      </c>
      <c r="F9" s="7"/>
      <c r="G9" s="12" t="s">
        <v>339</v>
      </c>
      <c r="H9" s="7" t="s">
        <v>340</v>
      </c>
      <c r="I9" s="7" t="s">
        <v>341</v>
      </c>
      <c r="J9" s="22">
        <v>58</v>
      </c>
      <c r="K9" s="7"/>
      <c r="L9" s="7" t="s">
        <v>342</v>
      </c>
      <c r="M9" s="7" t="s">
        <v>343</v>
      </c>
      <c r="N9" s="7" t="s">
        <v>344</v>
      </c>
      <c r="O9" s="12" t="str">
        <f t="shared" si="0"/>
        <v>승인</v>
      </c>
      <c r="P9" s="12"/>
      <c r="Q9" s="12" t="str">
        <f>IF(P9="","",INDEX(시험별비교!$B$5:$B$25,MATCH(P9,시험별비교!$A$5:$A$25,0)))</f>
        <v/>
      </c>
      <c r="R9" s="7" t="s">
        <v>345</v>
      </c>
    </row>
    <row r="10" spans="1:18" x14ac:dyDescent="0.45">
      <c r="A10" s="12">
        <v>12</v>
      </c>
      <c r="B10" s="12" t="s">
        <v>132</v>
      </c>
      <c r="C10" s="7" t="s">
        <v>314</v>
      </c>
      <c r="D10" s="7" t="s">
        <v>315</v>
      </c>
      <c r="E10" s="7" t="s">
        <v>346</v>
      </c>
      <c r="F10" s="7"/>
      <c r="G10" s="12" t="s">
        <v>347</v>
      </c>
      <c r="H10" s="7" t="s">
        <v>348</v>
      </c>
      <c r="I10" s="7" t="s">
        <v>349</v>
      </c>
      <c r="J10" s="22">
        <v>86</v>
      </c>
      <c r="K10" s="7"/>
      <c r="L10" s="7" t="s">
        <v>342</v>
      </c>
      <c r="M10" s="7" t="s">
        <v>350</v>
      </c>
      <c r="N10" s="7" t="s">
        <v>344</v>
      </c>
      <c r="O10" s="12" t="str">
        <f t="shared" si="0"/>
        <v>승인</v>
      </c>
      <c r="P10" s="12"/>
      <c r="Q10" s="12" t="str">
        <f>IF(P10="","",INDEX(시험별비교!$B$5:$B$25,MATCH(P10,시험별비교!$A$5:$A$25,0)))</f>
        <v/>
      </c>
      <c r="R10" s="7"/>
    </row>
    <row r="11" spans="1:18" x14ac:dyDescent="0.45">
      <c r="A11" s="12">
        <v>12</v>
      </c>
      <c r="B11" s="12" t="s">
        <v>132</v>
      </c>
      <c r="C11" s="7" t="s">
        <v>314</v>
      </c>
      <c r="D11" s="7" t="s">
        <v>315</v>
      </c>
      <c r="E11" s="7" t="s">
        <v>351</v>
      </c>
      <c r="F11" s="7" t="s">
        <v>352</v>
      </c>
      <c r="G11" s="12" t="s">
        <v>347</v>
      </c>
      <c r="H11" s="7" t="s">
        <v>353</v>
      </c>
      <c r="I11" s="7" t="s">
        <v>354</v>
      </c>
      <c r="J11" s="22">
        <v>217</v>
      </c>
      <c r="K11" s="7"/>
      <c r="L11" s="7" t="s">
        <v>355</v>
      </c>
      <c r="M11" s="7" t="s">
        <v>350</v>
      </c>
      <c r="N11" s="7" t="s">
        <v>344</v>
      </c>
      <c r="O11" s="12" t="str">
        <f t="shared" si="0"/>
        <v>승인</v>
      </c>
      <c r="P11" s="12"/>
      <c r="Q11" s="12" t="str">
        <f>IF(P11="","",INDEX(시험별비교!$B$5:$B$25,MATCH(P11,시험별비교!$A$5:$A$25,0)))</f>
        <v/>
      </c>
      <c r="R11" s="7"/>
    </row>
    <row r="12" spans="1:18" x14ac:dyDescent="0.45">
      <c r="A12" s="12">
        <v>12</v>
      </c>
      <c r="B12" s="12" t="s">
        <v>132</v>
      </c>
      <c r="C12" s="7" t="s">
        <v>314</v>
      </c>
      <c r="D12" s="7" t="s">
        <v>315</v>
      </c>
      <c r="E12" s="7" t="s">
        <v>356</v>
      </c>
      <c r="F12" s="7" t="s">
        <v>357</v>
      </c>
      <c r="G12" s="12" t="s">
        <v>347</v>
      </c>
      <c r="H12" s="7" t="s">
        <v>358</v>
      </c>
      <c r="I12" s="7" t="s">
        <v>359</v>
      </c>
      <c r="J12" s="22">
        <v>68</v>
      </c>
      <c r="K12" s="7"/>
      <c r="L12" s="7" t="s">
        <v>342</v>
      </c>
      <c r="M12" s="7" t="s">
        <v>350</v>
      </c>
      <c r="N12" s="7" t="s">
        <v>344</v>
      </c>
      <c r="O12" s="12" t="str">
        <f t="shared" si="0"/>
        <v>승인</v>
      </c>
      <c r="P12" s="12"/>
      <c r="Q12" s="12" t="str">
        <f>IF(P12="","",INDEX(시험별비교!$B$5:$B$25,MATCH(P12,시험별비교!$A$5:$A$25,0)))</f>
        <v/>
      </c>
      <c r="R12" s="7"/>
    </row>
    <row r="13" spans="1:18" x14ac:dyDescent="0.45">
      <c r="A13" s="12">
        <v>12</v>
      </c>
      <c r="B13" s="12" t="s">
        <v>132</v>
      </c>
      <c r="C13" s="7" t="s">
        <v>314</v>
      </c>
      <c r="D13" s="7" t="s">
        <v>315</v>
      </c>
      <c r="E13" s="7" t="s">
        <v>360</v>
      </c>
      <c r="F13" s="7" t="s">
        <v>361</v>
      </c>
      <c r="G13" s="12" t="s">
        <v>318</v>
      </c>
      <c r="H13" s="7" t="s">
        <v>362</v>
      </c>
      <c r="I13" s="7" t="s">
        <v>363</v>
      </c>
      <c r="J13" s="22">
        <v>229</v>
      </c>
      <c r="K13" s="7"/>
      <c r="L13" s="7" t="s">
        <v>342</v>
      </c>
      <c r="M13" s="7" t="s">
        <v>364</v>
      </c>
      <c r="N13" s="7" t="s">
        <v>344</v>
      </c>
      <c r="O13" s="12" t="str">
        <f t="shared" si="0"/>
        <v>승인</v>
      </c>
      <c r="P13" s="12"/>
      <c r="Q13" s="12" t="str">
        <f>IF(P13="","",INDEX(시험별비교!$B$5:$B$25,MATCH(P13,시험별비교!$A$5:$A$25,0)))</f>
        <v/>
      </c>
      <c r="R13" s="7"/>
    </row>
    <row r="14" spans="1:18" x14ac:dyDescent="0.45">
      <c r="A14" s="12">
        <v>12</v>
      </c>
      <c r="B14" s="12" t="s">
        <v>132</v>
      </c>
      <c r="C14" s="7" t="s">
        <v>314</v>
      </c>
      <c r="D14" s="7" t="s">
        <v>315</v>
      </c>
      <c r="E14" s="7" t="s">
        <v>365</v>
      </c>
      <c r="F14" s="7" t="s">
        <v>366</v>
      </c>
      <c r="G14" s="12" t="s">
        <v>318</v>
      </c>
      <c r="H14" s="7" t="s">
        <v>367</v>
      </c>
      <c r="I14" s="7" t="s">
        <v>368</v>
      </c>
      <c r="J14" s="22">
        <v>652</v>
      </c>
      <c r="K14" s="7"/>
      <c r="L14" s="7" t="s">
        <v>342</v>
      </c>
      <c r="M14" s="7" t="s">
        <v>350</v>
      </c>
      <c r="N14" s="7" t="s">
        <v>344</v>
      </c>
      <c r="O14" s="12" t="str">
        <f t="shared" si="0"/>
        <v>승인</v>
      </c>
      <c r="P14" s="12"/>
      <c r="Q14" s="12" t="str">
        <f>IF(P14="","",INDEX(시험별비교!$B$5:$B$25,MATCH(P14,시험별비교!$A$5:$A$25,0)))</f>
        <v/>
      </c>
      <c r="R14" s="7"/>
    </row>
    <row r="15" spans="1:18" x14ac:dyDescent="0.45">
      <c r="A15" s="12">
        <v>13</v>
      </c>
      <c r="B15" s="12" t="s">
        <v>132</v>
      </c>
      <c r="C15" s="7" t="s">
        <v>369</v>
      </c>
      <c r="D15" s="7" t="s">
        <v>131</v>
      </c>
      <c r="E15" s="7" t="s">
        <v>370</v>
      </c>
      <c r="F15" s="7"/>
      <c r="G15" s="12" t="s">
        <v>339</v>
      </c>
      <c r="H15" s="7" t="s">
        <v>371</v>
      </c>
      <c r="I15" s="7" t="s">
        <v>372</v>
      </c>
      <c r="J15" s="22">
        <v>437</v>
      </c>
      <c r="K15" s="7"/>
      <c r="L15" s="7" t="s">
        <v>373</v>
      </c>
      <c r="M15" s="7" t="s">
        <v>374</v>
      </c>
      <c r="N15" s="7" t="s">
        <v>245</v>
      </c>
      <c r="O15" s="12" t="str">
        <f t="shared" si="0"/>
        <v>유지</v>
      </c>
      <c r="P15" s="12"/>
      <c r="Q15" s="12" t="str">
        <f>IF(P15="","",INDEX(시험별비교!$B$5:$B$25,MATCH(P15,시험별비교!$A$5:$A$25,0)))</f>
        <v/>
      </c>
      <c r="R15" s="7"/>
    </row>
    <row r="16" spans="1:18" x14ac:dyDescent="0.45">
      <c r="A16" s="12">
        <v>13</v>
      </c>
      <c r="B16" s="12" t="s">
        <v>132</v>
      </c>
      <c r="C16" s="7" t="s">
        <v>369</v>
      </c>
      <c r="D16" s="7" t="s">
        <v>131</v>
      </c>
      <c r="E16" s="7" t="s">
        <v>375</v>
      </c>
      <c r="F16" s="7"/>
      <c r="G16" s="12" t="s">
        <v>339</v>
      </c>
      <c r="H16" s="7" t="s">
        <v>376</v>
      </c>
      <c r="I16" s="7" t="s">
        <v>336</v>
      </c>
      <c r="J16" s="22">
        <v>64</v>
      </c>
      <c r="K16" s="7" t="s">
        <v>377</v>
      </c>
      <c r="L16" s="7" t="s">
        <v>342</v>
      </c>
      <c r="M16" s="7" t="s">
        <v>374</v>
      </c>
      <c r="N16" s="7" t="s">
        <v>245</v>
      </c>
      <c r="O16" s="12" t="str">
        <f t="shared" si="0"/>
        <v>유지</v>
      </c>
      <c r="P16" s="12"/>
      <c r="Q16" s="12" t="str">
        <f>IF(P16="","",INDEX(시험별비교!$B$5:$B$25,MATCH(P16,시험별비교!$A$5:$A$25,0)))</f>
        <v/>
      </c>
      <c r="R16" s="7" t="s">
        <v>378</v>
      </c>
    </row>
    <row r="17" spans="1:18" x14ac:dyDescent="0.45">
      <c r="A17" s="12">
        <v>13</v>
      </c>
      <c r="B17" s="12" t="s">
        <v>132</v>
      </c>
      <c r="C17" s="7" t="s">
        <v>369</v>
      </c>
      <c r="D17" s="7" t="s">
        <v>131</v>
      </c>
      <c r="E17" s="7" t="s">
        <v>379</v>
      </c>
      <c r="F17" s="7"/>
      <c r="G17" s="12" t="s">
        <v>380</v>
      </c>
      <c r="H17" s="7" t="s">
        <v>381</v>
      </c>
      <c r="I17" s="7" t="s">
        <v>382</v>
      </c>
      <c r="J17" s="22">
        <v>260</v>
      </c>
      <c r="K17" s="7"/>
      <c r="L17" s="7" t="s">
        <v>383</v>
      </c>
      <c r="M17" s="7" t="s">
        <v>384</v>
      </c>
      <c r="N17" s="7" t="s">
        <v>125</v>
      </c>
      <c r="O17" s="12" t="str">
        <f t="shared" si="0"/>
        <v>진행</v>
      </c>
      <c r="P17" s="12"/>
      <c r="Q17" s="12" t="str">
        <f>IF(P17="","",INDEX(시험별비교!$B$5:$B$25,MATCH(P17,시험별비교!$A$5:$A$25,0)))</f>
        <v/>
      </c>
      <c r="R17" s="7"/>
    </row>
    <row r="18" spans="1:18" ht="32" x14ac:dyDescent="0.45">
      <c r="A18" s="12">
        <v>13</v>
      </c>
      <c r="B18" s="12" t="s">
        <v>132</v>
      </c>
      <c r="C18" s="7" t="s">
        <v>369</v>
      </c>
      <c r="D18" s="7" t="s">
        <v>131</v>
      </c>
      <c r="E18" s="7" t="s">
        <v>385</v>
      </c>
      <c r="F18" s="7"/>
      <c r="G18" s="12" t="s">
        <v>380</v>
      </c>
      <c r="H18" s="7" t="s">
        <v>386</v>
      </c>
      <c r="I18" s="7" t="s">
        <v>387</v>
      </c>
      <c r="J18" s="22">
        <v>246</v>
      </c>
      <c r="K18" s="7"/>
      <c r="L18" s="7" t="s">
        <v>388</v>
      </c>
      <c r="M18" s="7" t="s">
        <v>389</v>
      </c>
      <c r="N18" s="7" t="s">
        <v>125</v>
      </c>
      <c r="O18" s="12" t="str">
        <f t="shared" si="0"/>
        <v>진행</v>
      </c>
      <c r="P18" s="12"/>
      <c r="Q18" s="12" t="str">
        <f>IF(P18="","",INDEX(시험별비교!$B$5:$B$25,MATCH(P18,시험별비교!$A$5:$A$25,0)))</f>
        <v/>
      </c>
      <c r="R18" s="7"/>
    </row>
    <row r="19" spans="1:18" x14ac:dyDescent="0.45">
      <c r="A19" s="12">
        <v>13</v>
      </c>
      <c r="B19" s="12" t="s">
        <v>132</v>
      </c>
      <c r="C19" s="7" t="s">
        <v>369</v>
      </c>
      <c r="D19" s="7" t="s">
        <v>131</v>
      </c>
      <c r="E19" s="7" t="s">
        <v>390</v>
      </c>
      <c r="F19" s="7"/>
      <c r="G19" s="12" t="s">
        <v>380</v>
      </c>
      <c r="H19" s="7" t="s">
        <v>391</v>
      </c>
      <c r="I19" s="7" t="s">
        <v>336</v>
      </c>
      <c r="J19" s="22">
        <v>258</v>
      </c>
      <c r="K19" s="7"/>
      <c r="L19" s="7" t="s">
        <v>314</v>
      </c>
      <c r="M19" s="7" t="s">
        <v>392</v>
      </c>
      <c r="N19" s="7" t="s">
        <v>125</v>
      </c>
      <c r="O19" s="12" t="str">
        <f t="shared" si="0"/>
        <v>진행</v>
      </c>
      <c r="P19" s="12"/>
      <c r="Q19" s="12" t="str">
        <f>IF(P19="","",INDEX(시험별비교!$B$5:$B$25,MATCH(P19,시험별비교!$A$5:$A$25,0)))</f>
        <v/>
      </c>
      <c r="R19" s="7"/>
    </row>
    <row r="20" spans="1:18" x14ac:dyDescent="0.45">
      <c r="A20" s="12">
        <v>13</v>
      </c>
      <c r="B20" s="12" t="s">
        <v>132</v>
      </c>
      <c r="C20" s="7" t="s">
        <v>369</v>
      </c>
      <c r="D20" s="7" t="s">
        <v>131</v>
      </c>
      <c r="E20" s="7" t="s">
        <v>393</v>
      </c>
      <c r="F20" s="7"/>
      <c r="G20" s="12" t="s">
        <v>347</v>
      </c>
      <c r="H20" s="7" t="s">
        <v>394</v>
      </c>
      <c r="I20" s="7" t="s">
        <v>395</v>
      </c>
      <c r="J20" s="22">
        <v>114</v>
      </c>
      <c r="K20" s="7"/>
      <c r="L20" s="7" t="s">
        <v>314</v>
      </c>
      <c r="M20" s="7" t="s">
        <v>396</v>
      </c>
      <c r="N20" s="7" t="s">
        <v>245</v>
      </c>
      <c r="O20" s="12" t="str">
        <f t="shared" si="0"/>
        <v>유지</v>
      </c>
      <c r="P20" s="12"/>
      <c r="Q20" s="12" t="str">
        <f>IF(P20="","",INDEX(시험별비교!$B$5:$B$25,MATCH(P20,시험별비교!$A$5:$A$25,0)))</f>
        <v/>
      </c>
      <c r="R20" s="7"/>
    </row>
    <row r="21" spans="1:18" x14ac:dyDescent="0.45">
      <c r="A21" s="12">
        <v>13</v>
      </c>
      <c r="B21" s="12" t="s">
        <v>132</v>
      </c>
      <c r="C21" s="7" t="s">
        <v>369</v>
      </c>
      <c r="D21" s="7" t="s">
        <v>131</v>
      </c>
      <c r="E21" s="7" t="s">
        <v>397</v>
      </c>
      <c r="F21" s="7"/>
      <c r="G21" s="12" t="s">
        <v>347</v>
      </c>
      <c r="H21" s="7" t="s">
        <v>398</v>
      </c>
      <c r="I21" s="7" t="s">
        <v>399</v>
      </c>
      <c r="J21" s="22">
        <v>94</v>
      </c>
      <c r="K21" s="7"/>
      <c r="L21" s="7" t="s">
        <v>314</v>
      </c>
      <c r="M21" s="7" t="s">
        <v>400</v>
      </c>
      <c r="N21" s="7" t="s">
        <v>245</v>
      </c>
      <c r="O21" s="12" t="str">
        <f t="shared" si="0"/>
        <v>유지</v>
      </c>
      <c r="P21" s="12"/>
      <c r="Q21" s="12" t="str">
        <f>IF(P21="","",INDEX(시험별비교!$B$5:$B$25,MATCH(P21,시험별비교!$A$5:$A$25,0)))</f>
        <v/>
      </c>
      <c r="R21" s="7"/>
    </row>
    <row r="22" spans="1:18" x14ac:dyDescent="0.45">
      <c r="A22" s="12">
        <v>13</v>
      </c>
      <c r="B22" s="12" t="s">
        <v>132</v>
      </c>
      <c r="C22" s="7" t="s">
        <v>369</v>
      </c>
      <c r="D22" s="7" t="s">
        <v>131</v>
      </c>
      <c r="E22" s="7" t="s">
        <v>401</v>
      </c>
      <c r="F22" s="7" t="s">
        <v>402</v>
      </c>
      <c r="G22" s="12" t="s">
        <v>318</v>
      </c>
      <c r="H22" s="7" t="s">
        <v>244</v>
      </c>
      <c r="I22" s="7" t="s">
        <v>403</v>
      </c>
      <c r="J22" s="22">
        <v>711</v>
      </c>
      <c r="K22" s="7"/>
      <c r="L22" s="7" t="s">
        <v>314</v>
      </c>
      <c r="M22" s="7" t="s">
        <v>322</v>
      </c>
      <c r="N22" s="7" t="s">
        <v>245</v>
      </c>
      <c r="O22" s="12" t="str">
        <f t="shared" si="0"/>
        <v>유지</v>
      </c>
      <c r="P22" s="12">
        <v>20</v>
      </c>
      <c r="Q22" s="12" t="str">
        <f>IF(P22="","",INDEX(시험별비교!$B$5:$B$25,MATCH(P22,시험별비교!$A$5:$A$25,0)))</f>
        <v>모집완료</v>
      </c>
      <c r="R22" s="7"/>
    </row>
    <row r="23" spans="1:18" x14ac:dyDescent="0.45">
      <c r="A23" s="12">
        <v>13</v>
      </c>
      <c r="B23" s="12" t="s">
        <v>132</v>
      </c>
      <c r="C23" s="7" t="s">
        <v>369</v>
      </c>
      <c r="D23" s="7" t="s">
        <v>131</v>
      </c>
      <c r="E23" s="7" t="s">
        <v>404</v>
      </c>
      <c r="F23" s="7" t="s">
        <v>405</v>
      </c>
      <c r="G23" s="12" t="s">
        <v>318</v>
      </c>
      <c r="H23" s="7" t="s">
        <v>206</v>
      </c>
      <c r="I23" s="7" t="s">
        <v>349</v>
      </c>
      <c r="J23" s="22">
        <v>300</v>
      </c>
      <c r="K23" s="7"/>
      <c r="L23" s="7" t="s">
        <v>314</v>
      </c>
      <c r="M23" s="7" t="s">
        <v>322</v>
      </c>
      <c r="N23" s="7" t="s">
        <v>125</v>
      </c>
      <c r="O23" s="12" t="str">
        <f t="shared" si="0"/>
        <v>진행</v>
      </c>
      <c r="P23" s="12">
        <v>15</v>
      </c>
      <c r="Q23" s="12" t="str">
        <f>IF(P23="","",INDEX(시험별비교!$B$5:$B$25,MATCH(P23,시험별비교!$A$5:$A$25,0)))</f>
        <v>모집중</v>
      </c>
      <c r="R23" s="7"/>
    </row>
    <row r="24" spans="1:18" x14ac:dyDescent="0.45">
      <c r="A24" s="12">
        <v>13</v>
      </c>
      <c r="B24" s="12" t="s">
        <v>132</v>
      </c>
      <c r="C24" s="7" t="s">
        <v>369</v>
      </c>
      <c r="D24" s="7" t="s">
        <v>131</v>
      </c>
      <c r="E24" s="7" t="s">
        <v>406</v>
      </c>
      <c r="F24" s="7" t="s">
        <v>407</v>
      </c>
      <c r="G24" s="12" t="s">
        <v>318</v>
      </c>
      <c r="H24" s="7" t="s">
        <v>181</v>
      </c>
      <c r="I24" s="7" t="s">
        <v>408</v>
      </c>
      <c r="J24" s="22">
        <v>630</v>
      </c>
      <c r="K24" s="7"/>
      <c r="L24" s="7" t="s">
        <v>409</v>
      </c>
      <c r="M24" s="7" t="s">
        <v>322</v>
      </c>
      <c r="N24" s="7" t="s">
        <v>125</v>
      </c>
      <c r="O24" s="12" t="str">
        <f t="shared" si="0"/>
        <v>진행</v>
      </c>
      <c r="P24" s="12">
        <v>11</v>
      </c>
      <c r="Q24" s="12" t="str">
        <f>IF(P24="","",INDEX(시험별비교!$B$5:$B$25,MATCH(P24,시험별비교!$A$5:$A$25,0)))</f>
        <v>모집중</v>
      </c>
      <c r="R24" s="7"/>
    </row>
    <row r="25" spans="1:18" x14ac:dyDescent="0.45">
      <c r="A25" s="12">
        <v>13</v>
      </c>
      <c r="B25" s="12" t="s">
        <v>132</v>
      </c>
      <c r="C25" s="7" t="s">
        <v>369</v>
      </c>
      <c r="D25" s="7" t="s">
        <v>131</v>
      </c>
      <c r="E25" s="7" t="s">
        <v>410</v>
      </c>
      <c r="F25" s="7" t="s">
        <v>411</v>
      </c>
      <c r="G25" s="12" t="s">
        <v>318</v>
      </c>
      <c r="H25" s="7" t="s">
        <v>135</v>
      </c>
      <c r="I25" s="7" t="s">
        <v>412</v>
      </c>
      <c r="J25" s="22">
        <v>500</v>
      </c>
      <c r="K25" s="7"/>
      <c r="L25" s="7" t="s">
        <v>314</v>
      </c>
      <c r="M25" s="7" t="s">
        <v>322</v>
      </c>
      <c r="N25" s="7" t="s">
        <v>125</v>
      </c>
      <c r="O25" s="12" t="str">
        <f t="shared" si="0"/>
        <v>진행</v>
      </c>
      <c r="P25" s="12">
        <v>5</v>
      </c>
      <c r="Q25" s="12" t="str">
        <f>IF(P25="","",INDEX(시험별비교!$B$5:$B$25,MATCH(P25,시험별비교!$A$5:$A$25,0)))</f>
        <v>모집중</v>
      </c>
      <c r="R25" s="7"/>
    </row>
    <row r="26" spans="1:18" ht="32" x14ac:dyDescent="0.45">
      <c r="A26" s="12">
        <v>13</v>
      </c>
      <c r="B26" s="12" t="s">
        <v>132</v>
      </c>
      <c r="C26" s="7" t="s">
        <v>369</v>
      </c>
      <c r="D26" s="7" t="s">
        <v>131</v>
      </c>
      <c r="E26" s="7" t="s">
        <v>413</v>
      </c>
      <c r="F26" s="7"/>
      <c r="G26" s="12" t="s">
        <v>347</v>
      </c>
      <c r="H26" s="7" t="s">
        <v>414</v>
      </c>
      <c r="I26" s="7" t="s">
        <v>349</v>
      </c>
      <c r="J26" s="22">
        <v>124</v>
      </c>
      <c r="K26" s="7"/>
      <c r="L26" s="7" t="s">
        <v>342</v>
      </c>
      <c r="M26" s="7" t="s">
        <v>415</v>
      </c>
      <c r="N26" s="7" t="s">
        <v>416</v>
      </c>
      <c r="O26" s="12" t="str">
        <f t="shared" si="0"/>
        <v>승인</v>
      </c>
      <c r="P26" s="12"/>
      <c r="Q26" s="12" t="str">
        <f>IF(P26="","",INDEX(시험별비교!$B$5:$B$25,MATCH(P26,시험별비교!$A$5:$A$25,0)))</f>
        <v/>
      </c>
      <c r="R26" s="7" t="s">
        <v>417</v>
      </c>
    </row>
    <row r="27" spans="1:18" x14ac:dyDescent="0.45">
      <c r="A27" s="12">
        <v>13</v>
      </c>
      <c r="B27" s="12" t="s">
        <v>132</v>
      </c>
      <c r="C27" s="7" t="s">
        <v>369</v>
      </c>
      <c r="D27" s="7" t="s">
        <v>131</v>
      </c>
      <c r="E27" s="7" t="s">
        <v>418</v>
      </c>
      <c r="F27" s="7"/>
      <c r="G27" s="12" t="s">
        <v>347</v>
      </c>
      <c r="H27" s="7" t="s">
        <v>419</v>
      </c>
      <c r="I27" s="7" t="s">
        <v>368</v>
      </c>
      <c r="J27" s="22">
        <v>100</v>
      </c>
      <c r="K27" s="7"/>
      <c r="L27" s="7" t="s">
        <v>342</v>
      </c>
      <c r="M27" s="7" t="s">
        <v>350</v>
      </c>
      <c r="N27" s="7" t="s">
        <v>344</v>
      </c>
      <c r="O27" s="12" t="str">
        <f t="shared" si="0"/>
        <v>승인</v>
      </c>
      <c r="P27" s="12"/>
      <c r="Q27" s="12" t="str">
        <f>IF(P27="","",INDEX(시험별비교!$B$5:$B$25,MATCH(P27,시험별비교!$A$5:$A$25,0)))</f>
        <v/>
      </c>
      <c r="R27" s="7" t="s">
        <v>420</v>
      </c>
    </row>
    <row r="28" spans="1:18" x14ac:dyDescent="0.45">
      <c r="A28" s="12">
        <v>14</v>
      </c>
      <c r="B28" s="12" t="s">
        <v>132</v>
      </c>
      <c r="C28" s="7" t="s">
        <v>421</v>
      </c>
      <c r="D28" s="7" t="s">
        <v>157</v>
      </c>
      <c r="E28" s="7" t="s">
        <v>422</v>
      </c>
      <c r="F28" s="7" t="s">
        <v>423</v>
      </c>
      <c r="G28" s="12" t="s">
        <v>380</v>
      </c>
      <c r="H28" s="7" t="s">
        <v>424</v>
      </c>
      <c r="I28" s="7" t="s">
        <v>336</v>
      </c>
      <c r="J28" s="22">
        <v>645</v>
      </c>
      <c r="K28" s="7"/>
      <c r="L28" s="7" t="s">
        <v>342</v>
      </c>
      <c r="M28" s="7" t="s">
        <v>337</v>
      </c>
      <c r="N28" s="7" t="s">
        <v>125</v>
      </c>
      <c r="O28" s="12" t="str">
        <f t="shared" si="0"/>
        <v>진행</v>
      </c>
      <c r="P28" s="12"/>
      <c r="Q28" s="12" t="str">
        <f>IF(P28="","",INDEX(시험별비교!$B$5:$B$25,MATCH(P28,시험별비교!$A$5:$A$25,0)))</f>
        <v/>
      </c>
      <c r="R28" s="7"/>
    </row>
    <row r="29" spans="1:18" x14ac:dyDescent="0.45">
      <c r="A29" s="12">
        <v>14</v>
      </c>
      <c r="B29" s="12" t="s">
        <v>132</v>
      </c>
      <c r="C29" s="7" t="s">
        <v>421</v>
      </c>
      <c r="D29" s="7" t="s">
        <v>157</v>
      </c>
      <c r="E29" s="7" t="s">
        <v>425</v>
      </c>
      <c r="F29" s="7"/>
      <c r="G29" s="12" t="s">
        <v>380</v>
      </c>
      <c r="H29" s="7" t="s">
        <v>426</v>
      </c>
      <c r="I29" s="7" t="s">
        <v>336</v>
      </c>
      <c r="J29" s="22">
        <v>146</v>
      </c>
      <c r="K29" s="7"/>
      <c r="L29" s="7" t="s">
        <v>342</v>
      </c>
      <c r="M29" s="7" t="s">
        <v>427</v>
      </c>
      <c r="N29" s="7" t="s">
        <v>125</v>
      </c>
      <c r="O29" s="12" t="str">
        <f t="shared" si="0"/>
        <v>진행</v>
      </c>
      <c r="P29" s="12"/>
      <c r="Q29" s="12" t="str">
        <f>IF(P29="","",INDEX(시험별비교!$B$5:$B$25,MATCH(P29,시험별비교!$A$5:$A$25,0)))</f>
        <v/>
      </c>
      <c r="R29" s="7"/>
    </row>
    <row r="30" spans="1:18" ht="32" x14ac:dyDescent="0.45">
      <c r="A30" s="12">
        <v>14</v>
      </c>
      <c r="B30" s="12" t="s">
        <v>132</v>
      </c>
      <c r="C30" s="7" t="s">
        <v>421</v>
      </c>
      <c r="D30" s="7" t="s">
        <v>157</v>
      </c>
      <c r="E30" s="7" t="s">
        <v>428</v>
      </c>
      <c r="F30" s="7" t="s">
        <v>429</v>
      </c>
      <c r="G30" s="12" t="s">
        <v>380</v>
      </c>
      <c r="H30" s="7" t="s">
        <v>430</v>
      </c>
      <c r="I30" s="7" t="s">
        <v>336</v>
      </c>
      <c r="J30" s="22">
        <v>80</v>
      </c>
      <c r="K30" s="7"/>
      <c r="L30" s="7" t="s">
        <v>431</v>
      </c>
      <c r="M30" s="7" t="s">
        <v>432</v>
      </c>
      <c r="N30" s="7" t="s">
        <v>125</v>
      </c>
      <c r="O30" s="12" t="str">
        <f t="shared" si="0"/>
        <v>진행</v>
      </c>
      <c r="P30" s="12"/>
      <c r="Q30" s="12" t="str">
        <f>IF(P30="","",INDEX(시험별비교!$B$5:$B$25,MATCH(P30,시험별비교!$A$5:$A$25,0)))</f>
        <v/>
      </c>
      <c r="R30" s="7"/>
    </row>
    <row r="31" spans="1:18" x14ac:dyDescent="0.45">
      <c r="A31" s="12">
        <v>14</v>
      </c>
      <c r="B31" s="12" t="s">
        <v>132</v>
      </c>
      <c r="C31" s="7" t="s">
        <v>421</v>
      </c>
      <c r="D31" s="7" t="s">
        <v>157</v>
      </c>
      <c r="E31" s="7" t="s">
        <v>433</v>
      </c>
      <c r="F31" s="7" t="s">
        <v>434</v>
      </c>
      <c r="G31" s="12" t="s">
        <v>318</v>
      </c>
      <c r="H31" s="7" t="s">
        <v>166</v>
      </c>
      <c r="I31" s="7" t="s">
        <v>435</v>
      </c>
      <c r="J31" s="22">
        <v>250</v>
      </c>
      <c r="K31" s="7"/>
      <c r="L31" s="7" t="s">
        <v>342</v>
      </c>
      <c r="M31" s="7" t="s">
        <v>322</v>
      </c>
      <c r="N31" s="7" t="s">
        <v>125</v>
      </c>
      <c r="O31" s="12" t="str">
        <f t="shared" si="0"/>
        <v>진행</v>
      </c>
      <c r="P31" s="12">
        <v>9</v>
      </c>
      <c r="Q31" s="12" t="str">
        <f>IF(P31="","",INDEX(시험별비교!$B$5:$B$25,MATCH(P31,시험별비교!$A$5:$A$25,0)))</f>
        <v>모집중</v>
      </c>
      <c r="R31" s="7"/>
    </row>
    <row r="32" spans="1:18" x14ac:dyDescent="0.45">
      <c r="A32" s="12">
        <v>14</v>
      </c>
      <c r="B32" s="12" t="s">
        <v>132</v>
      </c>
      <c r="C32" s="7" t="s">
        <v>421</v>
      </c>
      <c r="D32" s="7" t="s">
        <v>157</v>
      </c>
      <c r="E32" s="7" t="s">
        <v>436</v>
      </c>
      <c r="F32" s="7" t="s">
        <v>437</v>
      </c>
      <c r="G32" s="12" t="s">
        <v>318</v>
      </c>
      <c r="H32" s="7" t="s">
        <v>438</v>
      </c>
      <c r="I32" s="7" t="s">
        <v>439</v>
      </c>
      <c r="J32" s="22">
        <v>152</v>
      </c>
      <c r="K32" s="7"/>
      <c r="L32" s="7" t="s">
        <v>342</v>
      </c>
      <c r="M32" s="7" t="s">
        <v>322</v>
      </c>
      <c r="N32" s="7" t="s">
        <v>245</v>
      </c>
      <c r="O32" s="12" t="str">
        <f t="shared" si="0"/>
        <v>유지</v>
      </c>
      <c r="P32" s="12"/>
      <c r="Q32" s="12" t="str">
        <f>IF(P32="","",INDEX(시험별비교!$B$5:$B$25,MATCH(P32,시험별비교!$A$5:$A$25,0)))</f>
        <v/>
      </c>
      <c r="R32" s="7" t="s">
        <v>378</v>
      </c>
    </row>
    <row r="33" spans="1:18" x14ac:dyDescent="0.45">
      <c r="A33" s="12">
        <v>14</v>
      </c>
      <c r="B33" s="12" t="s">
        <v>132</v>
      </c>
      <c r="C33" s="7" t="s">
        <v>421</v>
      </c>
      <c r="D33" s="7" t="s">
        <v>157</v>
      </c>
      <c r="E33" s="7" t="s">
        <v>440</v>
      </c>
      <c r="F33" s="7" t="s">
        <v>441</v>
      </c>
      <c r="G33" s="12" t="s">
        <v>318</v>
      </c>
      <c r="H33" s="7" t="s">
        <v>160</v>
      </c>
      <c r="I33" s="7" t="s">
        <v>442</v>
      </c>
      <c r="J33" s="22">
        <v>500</v>
      </c>
      <c r="K33" s="7"/>
      <c r="L33" s="7" t="s">
        <v>342</v>
      </c>
      <c r="M33" s="7" t="s">
        <v>322</v>
      </c>
      <c r="N33" s="7" t="s">
        <v>125</v>
      </c>
      <c r="O33" s="12" t="str">
        <f t="shared" si="0"/>
        <v>진행</v>
      </c>
      <c r="P33" s="12">
        <v>8</v>
      </c>
      <c r="Q33" s="12" t="str">
        <f>IF(P33="","",INDEX(시험별비교!$B$5:$B$25,MATCH(P33,시험별비교!$A$5:$A$25,0)))</f>
        <v>모집중</v>
      </c>
      <c r="R33" s="7"/>
    </row>
    <row r="34" spans="1:18" x14ac:dyDescent="0.45">
      <c r="A34" s="12">
        <v>15</v>
      </c>
      <c r="B34" s="12" t="s">
        <v>132</v>
      </c>
      <c r="C34" s="7" t="s">
        <v>443</v>
      </c>
      <c r="D34" s="7" t="s">
        <v>444</v>
      </c>
      <c r="E34" s="7" t="s">
        <v>445</v>
      </c>
      <c r="F34" s="7"/>
      <c r="G34" s="12" t="s">
        <v>339</v>
      </c>
      <c r="H34" s="7" t="s">
        <v>446</v>
      </c>
      <c r="I34" s="7" t="s">
        <v>447</v>
      </c>
      <c r="J34" s="22">
        <v>118</v>
      </c>
      <c r="K34" s="7"/>
      <c r="L34" s="7" t="s">
        <v>448</v>
      </c>
      <c r="M34" s="7" t="s">
        <v>449</v>
      </c>
      <c r="N34" s="7" t="s">
        <v>125</v>
      </c>
      <c r="O34" s="12" t="str">
        <f t="shared" si="0"/>
        <v>진행</v>
      </c>
      <c r="P34" s="12"/>
      <c r="Q34" s="12" t="str">
        <f>IF(P34="","",INDEX(시험별비교!$B$5:$B$25,MATCH(P34,시험별비교!$A$5:$A$25,0)))</f>
        <v/>
      </c>
      <c r="R34" s="7" t="s">
        <v>450</v>
      </c>
    </row>
    <row r="35" spans="1:18" ht="32" x14ac:dyDescent="0.45">
      <c r="A35" s="12">
        <v>15</v>
      </c>
      <c r="B35" s="12" t="s">
        <v>132</v>
      </c>
      <c r="C35" s="7" t="s">
        <v>451</v>
      </c>
      <c r="D35" s="7" t="s">
        <v>452</v>
      </c>
      <c r="E35" s="7" t="s">
        <v>453</v>
      </c>
      <c r="F35" s="7"/>
      <c r="G35" s="12" t="s">
        <v>347</v>
      </c>
      <c r="H35" s="7" t="s">
        <v>454</v>
      </c>
      <c r="I35" s="7" t="s">
        <v>455</v>
      </c>
      <c r="J35" s="22">
        <v>281</v>
      </c>
      <c r="K35" s="7" t="s">
        <v>456</v>
      </c>
      <c r="L35" s="7" t="s">
        <v>342</v>
      </c>
      <c r="M35" s="7" t="s">
        <v>457</v>
      </c>
      <c r="N35" s="7" t="s">
        <v>245</v>
      </c>
      <c r="O35" s="12" t="str">
        <f t="shared" si="0"/>
        <v>유지</v>
      </c>
      <c r="P35" s="12"/>
      <c r="Q35" s="12" t="str">
        <f>IF(P35="","",INDEX(시험별비교!$B$5:$B$25,MATCH(P35,시험별비교!$A$5:$A$25,0)))</f>
        <v/>
      </c>
      <c r="R35" s="7" t="s">
        <v>458</v>
      </c>
    </row>
    <row r="36" spans="1:18" ht="32" x14ac:dyDescent="0.45">
      <c r="A36" s="12">
        <v>15</v>
      </c>
      <c r="B36" s="12" t="s">
        <v>132</v>
      </c>
      <c r="C36" s="7" t="s">
        <v>451</v>
      </c>
      <c r="D36" s="7" t="s">
        <v>452</v>
      </c>
      <c r="E36" s="7" t="s">
        <v>459</v>
      </c>
      <c r="F36" s="7"/>
      <c r="G36" s="12" t="s">
        <v>347</v>
      </c>
      <c r="H36" s="7" t="s">
        <v>460</v>
      </c>
      <c r="I36" s="7" t="s">
        <v>461</v>
      </c>
      <c r="J36" s="22">
        <v>18</v>
      </c>
      <c r="K36" s="7"/>
      <c r="L36" s="7" t="s">
        <v>342</v>
      </c>
      <c r="M36" s="7" t="s">
        <v>462</v>
      </c>
      <c r="N36" s="7" t="s">
        <v>245</v>
      </c>
      <c r="O36" s="12" t="str">
        <f t="shared" si="0"/>
        <v>유지</v>
      </c>
      <c r="P36" s="12"/>
      <c r="Q36" s="12" t="str">
        <f>IF(P36="","",INDEX(시험별비교!$B$5:$B$25,MATCH(P36,시험별비교!$A$5:$A$25,0)))</f>
        <v/>
      </c>
      <c r="R36" s="7" t="s">
        <v>458</v>
      </c>
    </row>
    <row r="37" spans="1:18" x14ac:dyDescent="0.45">
      <c r="A37" s="12">
        <v>16</v>
      </c>
      <c r="B37" s="12" t="s">
        <v>91</v>
      </c>
      <c r="C37" s="7" t="s">
        <v>463</v>
      </c>
      <c r="D37" s="7" t="s">
        <v>148</v>
      </c>
      <c r="E37" s="7" t="s">
        <v>464</v>
      </c>
      <c r="F37" s="7"/>
      <c r="G37" s="12" t="s">
        <v>339</v>
      </c>
      <c r="H37" s="7" t="s">
        <v>465</v>
      </c>
      <c r="I37" s="7" t="s">
        <v>466</v>
      </c>
      <c r="J37" s="22">
        <v>59</v>
      </c>
      <c r="K37" s="7"/>
      <c r="L37" s="7" t="s">
        <v>342</v>
      </c>
      <c r="M37" s="7" t="s">
        <v>467</v>
      </c>
      <c r="N37" s="7" t="s">
        <v>200</v>
      </c>
      <c r="O37" s="12" t="str">
        <f t="shared" ref="O37:O68" si="1">IF(ISNUMBER(SEARCH("Approved",N37)),"승인",IF(N37="Closeout","종료",IF(N37="Maintenance","유지","진행")))</f>
        <v>종료</v>
      </c>
      <c r="P37" s="12"/>
      <c r="Q37" s="12" t="str">
        <f>IF(P37="","",INDEX(시험별비교!$B$5:$B$25,MATCH(P37,시험별비교!$A$5:$A$25,0)))</f>
        <v/>
      </c>
      <c r="R37" s="7"/>
    </row>
    <row r="38" spans="1:18" x14ac:dyDescent="0.45">
      <c r="A38" s="12">
        <v>16</v>
      </c>
      <c r="B38" s="12" t="s">
        <v>91</v>
      </c>
      <c r="C38" s="7" t="s">
        <v>463</v>
      </c>
      <c r="D38" s="7" t="s">
        <v>148</v>
      </c>
      <c r="E38" s="7" t="s">
        <v>468</v>
      </c>
      <c r="F38" s="7"/>
      <c r="G38" s="12" t="s">
        <v>347</v>
      </c>
      <c r="H38" s="7" t="s">
        <v>469</v>
      </c>
      <c r="I38" s="7" t="s">
        <v>470</v>
      </c>
      <c r="J38" s="22">
        <v>160</v>
      </c>
      <c r="K38" s="7"/>
      <c r="L38" s="7" t="s">
        <v>471</v>
      </c>
      <c r="M38" s="7" t="s">
        <v>350</v>
      </c>
      <c r="N38" s="7" t="s">
        <v>200</v>
      </c>
      <c r="O38" s="12" t="str">
        <f t="shared" si="1"/>
        <v>종료</v>
      </c>
      <c r="P38" s="12"/>
      <c r="Q38" s="12" t="str">
        <f>IF(P38="","",INDEX(시험별비교!$B$5:$B$25,MATCH(P38,시험별비교!$A$5:$A$25,0)))</f>
        <v/>
      </c>
      <c r="R38" s="7"/>
    </row>
    <row r="39" spans="1:18" ht="32" x14ac:dyDescent="0.45">
      <c r="A39" s="12">
        <v>16</v>
      </c>
      <c r="B39" s="12" t="s">
        <v>91</v>
      </c>
      <c r="C39" s="7" t="s">
        <v>463</v>
      </c>
      <c r="D39" s="7" t="s">
        <v>148</v>
      </c>
      <c r="E39" s="7" t="s">
        <v>472</v>
      </c>
      <c r="F39" s="7"/>
      <c r="G39" s="12" t="s">
        <v>347</v>
      </c>
      <c r="H39" s="7" t="s">
        <v>473</v>
      </c>
      <c r="I39" s="7" t="s">
        <v>474</v>
      </c>
      <c r="J39" s="22">
        <v>418</v>
      </c>
      <c r="K39" s="7"/>
      <c r="L39" s="7" t="s">
        <v>475</v>
      </c>
      <c r="M39" s="7" t="s">
        <v>350</v>
      </c>
      <c r="N39" s="7" t="s">
        <v>200</v>
      </c>
      <c r="O39" s="12" t="str">
        <f t="shared" si="1"/>
        <v>종료</v>
      </c>
      <c r="P39" s="12"/>
      <c r="Q39" s="12" t="str">
        <f>IF(P39="","",INDEX(시험별비교!$B$5:$B$25,MATCH(P39,시험별비교!$A$5:$A$25,0)))</f>
        <v/>
      </c>
      <c r="R39" s="7" t="s">
        <v>476</v>
      </c>
    </row>
    <row r="40" spans="1:18" x14ac:dyDescent="0.45">
      <c r="A40" s="12">
        <v>16</v>
      </c>
      <c r="B40" s="12" t="s">
        <v>91</v>
      </c>
      <c r="C40" s="7" t="s">
        <v>463</v>
      </c>
      <c r="D40" s="7" t="s">
        <v>148</v>
      </c>
      <c r="E40" s="7" t="s">
        <v>477</v>
      </c>
      <c r="F40" s="7"/>
      <c r="G40" s="12" t="s">
        <v>347</v>
      </c>
      <c r="H40" s="7" t="s">
        <v>478</v>
      </c>
      <c r="I40" s="7" t="s">
        <v>479</v>
      </c>
      <c r="J40" s="22">
        <v>30</v>
      </c>
      <c r="K40" s="7"/>
      <c r="L40" s="7" t="s">
        <v>480</v>
      </c>
      <c r="M40" s="7" t="s">
        <v>481</v>
      </c>
      <c r="N40" s="7" t="s">
        <v>125</v>
      </c>
      <c r="O40" s="12" t="str">
        <f t="shared" si="1"/>
        <v>진행</v>
      </c>
      <c r="P40" s="12"/>
      <c r="Q40" s="12" t="str">
        <f>IF(P40="","",INDEX(시험별비교!$B$5:$B$25,MATCH(P40,시험별비교!$A$5:$A$25,0)))</f>
        <v/>
      </c>
      <c r="R40" s="7"/>
    </row>
    <row r="41" spans="1:18" x14ac:dyDescent="0.45">
      <c r="A41" s="12">
        <v>16</v>
      </c>
      <c r="B41" s="12" t="s">
        <v>91</v>
      </c>
      <c r="C41" s="7" t="s">
        <v>463</v>
      </c>
      <c r="D41" s="7" t="s">
        <v>148</v>
      </c>
      <c r="E41" s="7" t="s">
        <v>150</v>
      </c>
      <c r="F41" s="7"/>
      <c r="G41" s="12" t="s">
        <v>318</v>
      </c>
      <c r="H41" s="7" t="s">
        <v>151</v>
      </c>
      <c r="I41" s="7" t="s">
        <v>466</v>
      </c>
      <c r="J41" s="22">
        <v>351</v>
      </c>
      <c r="K41" s="7"/>
      <c r="L41" s="7" t="s">
        <v>480</v>
      </c>
      <c r="M41" s="7" t="s">
        <v>343</v>
      </c>
      <c r="N41" s="7" t="s">
        <v>125</v>
      </c>
      <c r="O41" s="12" t="str">
        <f t="shared" si="1"/>
        <v>진행</v>
      </c>
      <c r="P41" s="12">
        <v>7</v>
      </c>
      <c r="Q41" s="12" t="str">
        <f>IF(P41="","",INDEX(시험별비교!$B$5:$B$25,MATCH(P41,시험별비교!$A$5:$A$25,0)))</f>
        <v>모집중</v>
      </c>
      <c r="R41" s="7" t="s">
        <v>482</v>
      </c>
    </row>
    <row r="42" spans="1:18" x14ac:dyDescent="0.45">
      <c r="A42" s="12">
        <v>16</v>
      </c>
      <c r="B42" s="12" t="s">
        <v>91</v>
      </c>
      <c r="C42" s="7" t="s">
        <v>463</v>
      </c>
      <c r="D42" s="7" t="s">
        <v>148</v>
      </c>
      <c r="E42" s="7" t="s">
        <v>483</v>
      </c>
      <c r="F42" s="7" t="s">
        <v>484</v>
      </c>
      <c r="G42" s="12" t="s">
        <v>318</v>
      </c>
      <c r="H42" s="7" t="s">
        <v>485</v>
      </c>
      <c r="I42" s="7" t="s">
        <v>486</v>
      </c>
      <c r="J42" s="22">
        <v>420</v>
      </c>
      <c r="K42" s="7"/>
      <c r="L42" s="7" t="s">
        <v>480</v>
      </c>
      <c r="M42" s="7" t="s">
        <v>487</v>
      </c>
      <c r="N42" s="7" t="s">
        <v>245</v>
      </c>
      <c r="O42" s="12" t="str">
        <f t="shared" si="1"/>
        <v>유지</v>
      </c>
      <c r="P42" s="12"/>
      <c r="Q42" s="12" t="str">
        <f>IF(P42="","",INDEX(시험별비교!$B$5:$B$25,MATCH(P42,시험별비교!$A$5:$A$25,0)))</f>
        <v/>
      </c>
      <c r="R42" s="7"/>
    </row>
    <row r="43" spans="1:18" x14ac:dyDescent="0.45">
      <c r="A43" s="12">
        <v>16</v>
      </c>
      <c r="B43" s="12" t="s">
        <v>91</v>
      </c>
      <c r="C43" s="7" t="s">
        <v>463</v>
      </c>
      <c r="D43" s="7" t="s">
        <v>148</v>
      </c>
      <c r="E43" s="7" t="s">
        <v>488</v>
      </c>
      <c r="F43" s="7"/>
      <c r="G43" s="12" t="s">
        <v>347</v>
      </c>
      <c r="H43" s="7" t="s">
        <v>489</v>
      </c>
      <c r="I43" s="7" t="s">
        <v>490</v>
      </c>
      <c r="J43" s="22">
        <v>113</v>
      </c>
      <c r="K43" s="7"/>
      <c r="L43" s="7" t="s">
        <v>342</v>
      </c>
      <c r="M43" s="7" t="s">
        <v>350</v>
      </c>
      <c r="N43" s="7" t="s">
        <v>491</v>
      </c>
      <c r="O43" s="12" t="str">
        <f t="shared" si="1"/>
        <v>승인</v>
      </c>
      <c r="P43" s="12"/>
      <c r="Q43" s="12" t="str">
        <f>IF(P43="","",INDEX(시험별비교!$B$5:$B$25,MATCH(P43,시험별비교!$A$5:$A$25,0)))</f>
        <v/>
      </c>
      <c r="R43" s="7"/>
    </row>
    <row r="44" spans="1:18" x14ac:dyDescent="0.45">
      <c r="A44" s="12">
        <v>16</v>
      </c>
      <c r="B44" s="12" t="s">
        <v>91</v>
      </c>
      <c r="C44" s="7" t="s">
        <v>463</v>
      </c>
      <c r="D44" s="7" t="s">
        <v>148</v>
      </c>
      <c r="E44" s="7" t="s">
        <v>492</v>
      </c>
      <c r="F44" s="7" t="s">
        <v>493</v>
      </c>
      <c r="G44" s="12" t="s">
        <v>318</v>
      </c>
      <c r="H44" s="7" t="s">
        <v>494</v>
      </c>
      <c r="I44" s="7" t="s">
        <v>495</v>
      </c>
      <c r="J44" s="22">
        <v>457</v>
      </c>
      <c r="K44" s="7"/>
      <c r="L44" s="7" t="s">
        <v>480</v>
      </c>
      <c r="M44" s="7" t="s">
        <v>496</v>
      </c>
      <c r="N44" s="7" t="s">
        <v>344</v>
      </c>
      <c r="O44" s="12" t="str">
        <f t="shared" si="1"/>
        <v>승인</v>
      </c>
      <c r="P44" s="12"/>
      <c r="Q44" s="12" t="str">
        <f>IF(P44="","",INDEX(시험별비교!$B$5:$B$25,MATCH(P44,시험별비교!$A$5:$A$25,0)))</f>
        <v/>
      </c>
      <c r="R44" s="7"/>
    </row>
    <row r="45" spans="1:18" x14ac:dyDescent="0.45">
      <c r="A45" s="12">
        <v>16</v>
      </c>
      <c r="B45" s="12" t="s">
        <v>91</v>
      </c>
      <c r="C45" s="7" t="s">
        <v>463</v>
      </c>
      <c r="D45" s="7" t="s">
        <v>148</v>
      </c>
      <c r="E45" s="7" t="s">
        <v>497</v>
      </c>
      <c r="F45" s="7" t="s">
        <v>498</v>
      </c>
      <c r="G45" s="12" t="s">
        <v>318</v>
      </c>
      <c r="H45" s="7" t="s">
        <v>499</v>
      </c>
      <c r="I45" s="7" t="s">
        <v>500</v>
      </c>
      <c r="J45" s="22">
        <v>453</v>
      </c>
      <c r="K45" s="7"/>
      <c r="L45" s="7" t="s">
        <v>480</v>
      </c>
      <c r="M45" s="7" t="s">
        <v>501</v>
      </c>
      <c r="N45" s="7" t="s">
        <v>344</v>
      </c>
      <c r="O45" s="12" t="str">
        <f t="shared" si="1"/>
        <v>승인</v>
      </c>
      <c r="P45" s="12"/>
      <c r="Q45" s="12" t="str">
        <f>IF(P45="","",INDEX(시험별비교!$B$5:$B$25,MATCH(P45,시험별비교!$A$5:$A$25,0)))</f>
        <v/>
      </c>
      <c r="R45" s="7"/>
    </row>
    <row r="46" spans="1:18" x14ac:dyDescent="0.45">
      <c r="A46" s="12">
        <v>17</v>
      </c>
      <c r="B46" s="12" t="s">
        <v>91</v>
      </c>
      <c r="C46" s="7" t="s">
        <v>463</v>
      </c>
      <c r="D46" s="7" t="s">
        <v>148</v>
      </c>
      <c r="E46" s="7" t="s">
        <v>502</v>
      </c>
      <c r="F46" s="7"/>
      <c r="G46" s="12" t="s">
        <v>347</v>
      </c>
      <c r="H46" s="7" t="s">
        <v>503</v>
      </c>
      <c r="I46" s="7" t="s">
        <v>504</v>
      </c>
      <c r="J46" s="22">
        <v>249</v>
      </c>
      <c r="K46" s="7"/>
      <c r="L46" s="7" t="s">
        <v>342</v>
      </c>
      <c r="M46" s="7" t="s">
        <v>350</v>
      </c>
      <c r="N46" s="7" t="s">
        <v>491</v>
      </c>
      <c r="O46" s="12" t="str">
        <f t="shared" si="1"/>
        <v>승인</v>
      </c>
      <c r="P46" s="12"/>
      <c r="Q46" s="12" t="str">
        <f>IF(P46="","",INDEX(시험별비교!$B$5:$B$25,MATCH(P46,시험별비교!$A$5:$A$25,0)))</f>
        <v/>
      </c>
      <c r="R46" s="7"/>
    </row>
    <row r="47" spans="1:18" ht="32" x14ac:dyDescent="0.45">
      <c r="A47" s="12">
        <v>17</v>
      </c>
      <c r="B47" s="12" t="s">
        <v>91</v>
      </c>
      <c r="C47" s="7" t="s">
        <v>463</v>
      </c>
      <c r="D47" s="7" t="s">
        <v>148</v>
      </c>
      <c r="E47" s="7" t="s">
        <v>505</v>
      </c>
      <c r="F47" s="7"/>
      <c r="G47" s="12" t="s">
        <v>347</v>
      </c>
      <c r="H47" s="7" t="s">
        <v>506</v>
      </c>
      <c r="I47" s="7" t="s">
        <v>507</v>
      </c>
      <c r="J47" s="22">
        <v>150</v>
      </c>
      <c r="K47" s="7"/>
      <c r="L47" s="7" t="s">
        <v>342</v>
      </c>
      <c r="M47" s="7" t="s">
        <v>350</v>
      </c>
      <c r="N47" s="7" t="s">
        <v>491</v>
      </c>
      <c r="O47" s="12" t="str">
        <f t="shared" si="1"/>
        <v>승인</v>
      </c>
      <c r="P47" s="12"/>
      <c r="Q47" s="12" t="str">
        <f>IF(P47="","",INDEX(시험별비교!$B$5:$B$25,MATCH(P47,시험별비교!$A$5:$A$25,0)))</f>
        <v/>
      </c>
      <c r="R47" s="7"/>
    </row>
    <row r="48" spans="1:18" x14ac:dyDescent="0.45">
      <c r="A48" s="12">
        <v>17</v>
      </c>
      <c r="B48" s="12" t="s">
        <v>91</v>
      </c>
      <c r="C48" s="7" t="s">
        <v>463</v>
      </c>
      <c r="D48" s="7" t="s">
        <v>148</v>
      </c>
      <c r="E48" s="7" t="s">
        <v>508</v>
      </c>
      <c r="F48" s="7" t="s">
        <v>509</v>
      </c>
      <c r="G48" s="12" t="s">
        <v>318</v>
      </c>
      <c r="H48" s="7" t="s">
        <v>510</v>
      </c>
      <c r="I48" s="7" t="s">
        <v>511</v>
      </c>
      <c r="J48" s="22">
        <v>684</v>
      </c>
      <c r="K48" s="7"/>
      <c r="L48" s="7" t="s">
        <v>342</v>
      </c>
      <c r="M48" s="7" t="s">
        <v>496</v>
      </c>
      <c r="N48" s="7" t="s">
        <v>344</v>
      </c>
      <c r="O48" s="12" t="str">
        <f t="shared" si="1"/>
        <v>승인</v>
      </c>
      <c r="P48" s="12"/>
      <c r="Q48" s="12" t="str">
        <f>IF(P48="","",INDEX(시험별비교!$B$5:$B$25,MATCH(P48,시험별비교!$A$5:$A$25,0)))</f>
        <v/>
      </c>
      <c r="R48" s="7"/>
    </row>
    <row r="49" spans="1:18" x14ac:dyDescent="0.45">
      <c r="A49" s="12">
        <v>17</v>
      </c>
      <c r="B49" s="12" t="s">
        <v>91</v>
      </c>
      <c r="C49" s="7" t="s">
        <v>463</v>
      </c>
      <c r="D49" s="7" t="s">
        <v>148</v>
      </c>
      <c r="E49" s="7" t="s">
        <v>512</v>
      </c>
      <c r="F49" s="7" t="s">
        <v>513</v>
      </c>
      <c r="G49" s="12" t="s">
        <v>318</v>
      </c>
      <c r="H49" s="7" t="s">
        <v>514</v>
      </c>
      <c r="I49" s="7" t="s">
        <v>515</v>
      </c>
      <c r="J49" s="22">
        <v>513</v>
      </c>
      <c r="K49" s="7"/>
      <c r="L49" s="7" t="s">
        <v>342</v>
      </c>
      <c r="M49" s="7" t="s">
        <v>496</v>
      </c>
      <c r="N49" s="7" t="s">
        <v>344</v>
      </c>
      <c r="O49" s="12" t="str">
        <f t="shared" si="1"/>
        <v>승인</v>
      </c>
      <c r="P49" s="12"/>
      <c r="Q49" s="12" t="str">
        <f>IF(P49="","",INDEX(시험별비교!$B$5:$B$25,MATCH(P49,시험별비교!$A$5:$A$25,0)))</f>
        <v/>
      </c>
      <c r="R49" s="7"/>
    </row>
    <row r="50" spans="1:18" x14ac:dyDescent="0.45">
      <c r="A50" s="12">
        <v>17</v>
      </c>
      <c r="B50" s="12" t="s">
        <v>91</v>
      </c>
      <c r="C50" s="7" t="s">
        <v>463</v>
      </c>
      <c r="D50" s="7" t="s">
        <v>148</v>
      </c>
      <c r="E50" s="7" t="s">
        <v>516</v>
      </c>
      <c r="F50" s="7" t="s">
        <v>517</v>
      </c>
      <c r="G50" s="12" t="s">
        <v>318</v>
      </c>
      <c r="H50" s="7" t="s">
        <v>518</v>
      </c>
      <c r="I50" s="7" t="s">
        <v>519</v>
      </c>
      <c r="J50" s="22">
        <v>805</v>
      </c>
      <c r="K50" s="7"/>
      <c r="L50" s="7" t="s">
        <v>342</v>
      </c>
      <c r="M50" s="7" t="s">
        <v>520</v>
      </c>
      <c r="N50" s="7" t="s">
        <v>344</v>
      </c>
      <c r="O50" s="12" t="str">
        <f t="shared" si="1"/>
        <v>승인</v>
      </c>
      <c r="P50" s="12"/>
      <c r="Q50" s="12" t="str">
        <f>IF(P50="","",INDEX(시험별비교!$B$5:$B$25,MATCH(P50,시험별비교!$A$5:$A$25,0)))</f>
        <v/>
      </c>
      <c r="R50" s="7"/>
    </row>
    <row r="51" spans="1:18" x14ac:dyDescent="0.45">
      <c r="A51" s="12">
        <v>17</v>
      </c>
      <c r="B51" s="12" t="s">
        <v>91</v>
      </c>
      <c r="C51" s="7" t="s">
        <v>463</v>
      </c>
      <c r="D51" s="7" t="s">
        <v>148</v>
      </c>
      <c r="E51" s="7" t="s">
        <v>521</v>
      </c>
      <c r="F51" s="7" t="s">
        <v>522</v>
      </c>
      <c r="G51" s="12" t="s">
        <v>318</v>
      </c>
      <c r="H51" s="7" t="s">
        <v>523</v>
      </c>
      <c r="I51" s="7" t="s">
        <v>524</v>
      </c>
      <c r="J51" s="22">
        <v>334</v>
      </c>
      <c r="K51" s="7"/>
      <c r="L51" s="7" t="s">
        <v>480</v>
      </c>
      <c r="M51" s="7" t="s">
        <v>322</v>
      </c>
      <c r="N51" s="7" t="s">
        <v>344</v>
      </c>
      <c r="O51" s="12" t="str">
        <f t="shared" si="1"/>
        <v>승인</v>
      </c>
      <c r="P51" s="12"/>
      <c r="Q51" s="12" t="str">
        <f>IF(P51="","",INDEX(시험별비교!$B$5:$B$25,MATCH(P51,시험별비교!$A$5:$A$25,0)))</f>
        <v/>
      </c>
      <c r="R51" s="7"/>
    </row>
    <row r="52" spans="1:18" x14ac:dyDescent="0.45">
      <c r="A52" s="12">
        <v>17</v>
      </c>
      <c r="B52" s="12" t="s">
        <v>91</v>
      </c>
      <c r="C52" s="7" t="s">
        <v>463</v>
      </c>
      <c r="D52" s="7" t="s">
        <v>148</v>
      </c>
      <c r="E52" s="7" t="s">
        <v>525</v>
      </c>
      <c r="F52" s="7" t="s">
        <v>526</v>
      </c>
      <c r="G52" s="12" t="s">
        <v>318</v>
      </c>
      <c r="H52" s="7" t="s">
        <v>527</v>
      </c>
      <c r="I52" s="7" t="s">
        <v>528</v>
      </c>
      <c r="J52" s="22">
        <v>997</v>
      </c>
      <c r="K52" s="7"/>
      <c r="L52" s="7" t="s">
        <v>480</v>
      </c>
      <c r="M52" s="7" t="s">
        <v>496</v>
      </c>
      <c r="N52" s="7" t="s">
        <v>344</v>
      </c>
      <c r="O52" s="12" t="str">
        <f t="shared" si="1"/>
        <v>승인</v>
      </c>
      <c r="P52" s="12"/>
      <c r="Q52" s="12" t="str">
        <f>IF(P52="","",INDEX(시험별비교!$B$5:$B$25,MATCH(P52,시험별비교!$A$5:$A$25,0)))</f>
        <v/>
      </c>
      <c r="R52" s="7"/>
    </row>
    <row r="53" spans="1:18" x14ac:dyDescent="0.45">
      <c r="A53" s="12">
        <v>17</v>
      </c>
      <c r="B53" s="12" t="s">
        <v>91</v>
      </c>
      <c r="C53" s="7" t="s">
        <v>463</v>
      </c>
      <c r="D53" s="7" t="s">
        <v>148</v>
      </c>
      <c r="E53" s="7" t="s">
        <v>529</v>
      </c>
      <c r="F53" s="7" t="s">
        <v>530</v>
      </c>
      <c r="G53" s="12" t="s">
        <v>318</v>
      </c>
      <c r="H53" s="7" t="s">
        <v>531</v>
      </c>
      <c r="I53" s="7" t="s">
        <v>532</v>
      </c>
      <c r="J53" s="22">
        <v>649</v>
      </c>
      <c r="K53" s="7"/>
      <c r="L53" s="7" t="s">
        <v>480</v>
      </c>
      <c r="M53" s="7" t="s">
        <v>496</v>
      </c>
      <c r="N53" s="7" t="s">
        <v>344</v>
      </c>
      <c r="O53" s="12" t="str">
        <f t="shared" si="1"/>
        <v>승인</v>
      </c>
      <c r="P53" s="12"/>
      <c r="Q53" s="12" t="str">
        <f>IF(P53="","",INDEX(시험별비교!$B$5:$B$25,MATCH(P53,시험별비교!$A$5:$A$25,0)))</f>
        <v/>
      </c>
      <c r="R53" s="7"/>
    </row>
    <row r="54" spans="1:18" x14ac:dyDescent="0.45">
      <c r="A54" s="12">
        <v>17</v>
      </c>
      <c r="B54" s="12" t="s">
        <v>91</v>
      </c>
      <c r="C54" s="7" t="s">
        <v>463</v>
      </c>
      <c r="D54" s="7" t="s">
        <v>148</v>
      </c>
      <c r="E54" s="7" t="s">
        <v>533</v>
      </c>
      <c r="F54" s="7" t="s">
        <v>534</v>
      </c>
      <c r="G54" s="12" t="s">
        <v>318</v>
      </c>
      <c r="H54" s="7" t="s">
        <v>535</v>
      </c>
      <c r="I54" s="7" t="s">
        <v>536</v>
      </c>
      <c r="J54" s="22">
        <v>360</v>
      </c>
      <c r="K54" s="7"/>
      <c r="L54" s="7" t="s">
        <v>480</v>
      </c>
      <c r="M54" s="7" t="s">
        <v>322</v>
      </c>
      <c r="N54" s="7" t="s">
        <v>344</v>
      </c>
      <c r="O54" s="12" t="str">
        <f t="shared" si="1"/>
        <v>승인</v>
      </c>
      <c r="P54" s="12"/>
      <c r="Q54" s="12" t="str">
        <f>IF(P54="","",INDEX(시험별비교!$B$5:$B$25,MATCH(P54,시험별비교!$A$5:$A$25,0)))</f>
        <v/>
      </c>
      <c r="R54" s="7"/>
    </row>
    <row r="55" spans="1:18" x14ac:dyDescent="0.45">
      <c r="A55" s="12">
        <v>17</v>
      </c>
      <c r="B55" s="12" t="s">
        <v>91</v>
      </c>
      <c r="C55" s="7" t="s">
        <v>463</v>
      </c>
      <c r="D55" s="7" t="s">
        <v>148</v>
      </c>
      <c r="E55" s="7" t="s">
        <v>537</v>
      </c>
      <c r="F55" s="7" t="s">
        <v>538</v>
      </c>
      <c r="G55" s="12" t="s">
        <v>318</v>
      </c>
      <c r="H55" s="7" t="s">
        <v>539</v>
      </c>
      <c r="I55" s="7" t="s">
        <v>540</v>
      </c>
      <c r="J55" s="22">
        <v>263</v>
      </c>
      <c r="K55" s="7"/>
      <c r="L55" s="7" t="s">
        <v>480</v>
      </c>
      <c r="M55" s="7" t="s">
        <v>322</v>
      </c>
      <c r="N55" s="7" t="s">
        <v>344</v>
      </c>
      <c r="O55" s="12" t="str">
        <f t="shared" si="1"/>
        <v>승인</v>
      </c>
      <c r="P55" s="12"/>
      <c r="Q55" s="12" t="str">
        <f>IF(P55="","",INDEX(시험별비교!$B$5:$B$25,MATCH(P55,시험별비교!$A$5:$A$25,0)))</f>
        <v/>
      </c>
      <c r="R55" s="7"/>
    </row>
    <row r="56" spans="1:18" ht="32" x14ac:dyDescent="0.45">
      <c r="A56" s="12">
        <v>18</v>
      </c>
      <c r="B56" s="12" t="s">
        <v>91</v>
      </c>
      <c r="C56" s="7" t="s">
        <v>541</v>
      </c>
      <c r="D56" s="7" t="s">
        <v>542</v>
      </c>
      <c r="E56" s="7" t="s">
        <v>543</v>
      </c>
      <c r="F56" s="7"/>
      <c r="G56" s="12" t="s">
        <v>339</v>
      </c>
      <c r="H56" s="7" t="s">
        <v>544</v>
      </c>
      <c r="I56" s="7" t="s">
        <v>545</v>
      </c>
      <c r="J56" s="22">
        <v>90</v>
      </c>
      <c r="K56" s="7"/>
      <c r="L56" s="7" t="s">
        <v>342</v>
      </c>
      <c r="M56" s="7" t="s">
        <v>546</v>
      </c>
      <c r="N56" s="7" t="s">
        <v>105</v>
      </c>
      <c r="O56" s="12" t="str">
        <f t="shared" si="1"/>
        <v>진행</v>
      </c>
      <c r="P56" s="12"/>
      <c r="Q56" s="12" t="str">
        <f>IF(P56="","",INDEX(시험별비교!$B$5:$B$25,MATCH(P56,시험별비교!$A$5:$A$25,0)))</f>
        <v/>
      </c>
      <c r="R56" s="7"/>
    </row>
    <row r="57" spans="1:18" ht="32" x14ac:dyDescent="0.45">
      <c r="A57" s="12">
        <v>18</v>
      </c>
      <c r="B57" s="12" t="s">
        <v>91</v>
      </c>
      <c r="C57" s="7" t="s">
        <v>547</v>
      </c>
      <c r="D57" s="7" t="s">
        <v>211</v>
      </c>
      <c r="E57" s="7" t="s">
        <v>213</v>
      </c>
      <c r="F57" s="7"/>
      <c r="G57" s="12" t="s">
        <v>339</v>
      </c>
      <c r="H57" s="7" t="s">
        <v>214</v>
      </c>
      <c r="I57" s="7" t="s">
        <v>545</v>
      </c>
      <c r="J57" s="22">
        <v>525</v>
      </c>
      <c r="K57" s="7"/>
      <c r="L57" s="7" t="s">
        <v>342</v>
      </c>
      <c r="M57" s="7" t="s">
        <v>546</v>
      </c>
      <c r="N57" s="7" t="s">
        <v>105</v>
      </c>
      <c r="O57" s="12" t="str">
        <f t="shared" si="1"/>
        <v>진행</v>
      </c>
      <c r="P57" s="12">
        <v>16</v>
      </c>
      <c r="Q57" s="12" t="str">
        <f>IF(P57="","",INDEX(시험별비교!$B$5:$B$25,MATCH(P57,시험별비교!$A$5:$A$25,0)))</f>
        <v>모집중</v>
      </c>
      <c r="R57" s="7"/>
    </row>
    <row r="58" spans="1:18" x14ac:dyDescent="0.45">
      <c r="A58" s="12">
        <v>18</v>
      </c>
      <c r="B58" s="12" t="s">
        <v>91</v>
      </c>
      <c r="C58" s="7" t="s">
        <v>139</v>
      </c>
      <c r="D58" s="7" t="s">
        <v>140</v>
      </c>
      <c r="E58" s="7" t="s">
        <v>142</v>
      </c>
      <c r="F58" s="7"/>
      <c r="G58" s="12" t="s">
        <v>339</v>
      </c>
      <c r="H58" s="7" t="s">
        <v>143</v>
      </c>
      <c r="I58" s="7" t="s">
        <v>545</v>
      </c>
      <c r="J58" s="22">
        <v>153</v>
      </c>
      <c r="K58" s="7"/>
      <c r="L58" s="7" t="s">
        <v>342</v>
      </c>
      <c r="M58" s="7" t="s">
        <v>548</v>
      </c>
      <c r="N58" s="7" t="s">
        <v>105</v>
      </c>
      <c r="O58" s="12" t="str">
        <f t="shared" si="1"/>
        <v>진행</v>
      </c>
      <c r="P58" s="12">
        <v>6</v>
      </c>
      <c r="Q58" s="12" t="str">
        <f>IF(P58="","",INDEX(시험별비교!$B$5:$B$25,MATCH(P58,시험별비교!$A$5:$A$25,0)))</f>
        <v>모집중</v>
      </c>
      <c r="R58" s="7"/>
    </row>
    <row r="59" spans="1:18" ht="32" x14ac:dyDescent="0.45">
      <c r="A59" s="12">
        <v>18</v>
      </c>
      <c r="B59" s="12" t="s">
        <v>91</v>
      </c>
      <c r="C59" s="7" t="s">
        <v>549</v>
      </c>
      <c r="D59" s="7" t="s">
        <v>550</v>
      </c>
      <c r="E59" s="7" t="s">
        <v>551</v>
      </c>
      <c r="F59" s="7"/>
      <c r="G59" s="12" t="s">
        <v>339</v>
      </c>
      <c r="H59" s="7" t="s">
        <v>552</v>
      </c>
      <c r="I59" s="7" t="s">
        <v>545</v>
      </c>
      <c r="J59" s="22">
        <v>63</v>
      </c>
      <c r="K59" s="7"/>
      <c r="L59" s="7" t="s">
        <v>342</v>
      </c>
      <c r="M59" s="7" t="s">
        <v>546</v>
      </c>
      <c r="N59" s="7" t="s">
        <v>105</v>
      </c>
      <c r="O59" s="12" t="str">
        <f t="shared" si="1"/>
        <v>진행</v>
      </c>
      <c r="P59" s="12"/>
      <c r="Q59" s="12" t="str">
        <f>IF(P59="","",INDEX(시험별비교!$B$5:$B$25,MATCH(P59,시험별비교!$A$5:$A$25,0)))</f>
        <v/>
      </c>
      <c r="R59" s="7"/>
    </row>
    <row r="60" spans="1:18" ht="32" x14ac:dyDescent="0.45">
      <c r="A60" s="12">
        <v>18</v>
      </c>
      <c r="B60" s="12" t="s">
        <v>91</v>
      </c>
      <c r="C60" s="7" t="s">
        <v>553</v>
      </c>
      <c r="D60" s="7" t="s">
        <v>554</v>
      </c>
      <c r="E60" s="7" t="s">
        <v>555</v>
      </c>
      <c r="F60" s="7"/>
      <c r="G60" s="12" t="s">
        <v>339</v>
      </c>
      <c r="H60" s="7" t="s">
        <v>556</v>
      </c>
      <c r="I60" s="7" t="s">
        <v>545</v>
      </c>
      <c r="J60" s="22">
        <v>56</v>
      </c>
      <c r="K60" s="7"/>
      <c r="L60" s="7" t="s">
        <v>342</v>
      </c>
      <c r="M60" s="7" t="s">
        <v>557</v>
      </c>
      <c r="N60" s="7" t="s">
        <v>105</v>
      </c>
      <c r="O60" s="12" t="str">
        <f t="shared" si="1"/>
        <v>진행</v>
      </c>
      <c r="P60" s="12"/>
      <c r="Q60" s="12" t="str">
        <f>IF(P60="","",INDEX(시험별비교!$B$5:$B$25,MATCH(P60,시험별비교!$A$5:$A$25,0)))</f>
        <v/>
      </c>
      <c r="R60" s="7" t="s">
        <v>558</v>
      </c>
    </row>
    <row r="61" spans="1:18" ht="32" x14ac:dyDescent="0.45">
      <c r="A61" s="12">
        <v>18</v>
      </c>
      <c r="B61" s="12" t="s">
        <v>91</v>
      </c>
      <c r="C61" s="7" t="s">
        <v>559</v>
      </c>
      <c r="D61" s="7" t="s">
        <v>131</v>
      </c>
      <c r="E61" s="7" t="s">
        <v>560</v>
      </c>
      <c r="F61" s="7"/>
      <c r="G61" s="12" t="s">
        <v>339</v>
      </c>
      <c r="H61" s="7" t="s">
        <v>561</v>
      </c>
      <c r="I61" s="7" t="s">
        <v>562</v>
      </c>
      <c r="J61" s="22">
        <v>120</v>
      </c>
      <c r="K61" s="7"/>
      <c r="L61" s="7" t="s">
        <v>563</v>
      </c>
      <c r="M61" s="7" t="s">
        <v>546</v>
      </c>
      <c r="N61" s="7" t="s">
        <v>105</v>
      </c>
      <c r="O61" s="12" t="str">
        <f t="shared" si="1"/>
        <v>진행</v>
      </c>
      <c r="P61" s="12"/>
      <c r="Q61" s="12" t="str">
        <f>IF(P61="","",INDEX(시험별비교!$B$5:$B$25,MATCH(P61,시험별비교!$A$5:$A$25,0)))</f>
        <v/>
      </c>
      <c r="R61" s="7"/>
    </row>
    <row r="62" spans="1:18" x14ac:dyDescent="0.45">
      <c r="A62" s="12">
        <v>18</v>
      </c>
      <c r="B62" s="12" t="s">
        <v>91</v>
      </c>
      <c r="C62" s="7" t="s">
        <v>564</v>
      </c>
      <c r="D62" s="7" t="s">
        <v>100</v>
      </c>
      <c r="E62" s="7" t="s">
        <v>103</v>
      </c>
      <c r="F62" s="7"/>
      <c r="G62" s="12" t="s">
        <v>339</v>
      </c>
      <c r="H62" s="7" t="s">
        <v>104</v>
      </c>
      <c r="I62" s="7" t="s">
        <v>545</v>
      </c>
      <c r="J62" s="22">
        <v>105</v>
      </c>
      <c r="K62" s="7"/>
      <c r="L62" s="7" t="s">
        <v>565</v>
      </c>
      <c r="M62" s="7" t="s">
        <v>566</v>
      </c>
      <c r="N62" s="7" t="s">
        <v>105</v>
      </c>
      <c r="O62" s="12" t="str">
        <f t="shared" si="1"/>
        <v>진행</v>
      </c>
      <c r="P62" s="12">
        <v>2</v>
      </c>
      <c r="Q62" s="12" t="str">
        <f>IF(P62="","",INDEX(시험별비교!$B$5:$B$25,MATCH(P62,시험별비교!$A$5:$A$25,0)))</f>
        <v>승인완료</v>
      </c>
      <c r="R62" s="7"/>
    </row>
    <row r="63" spans="1:18" ht="32" x14ac:dyDescent="0.45">
      <c r="A63" s="12">
        <v>18</v>
      </c>
      <c r="B63" s="12" t="s">
        <v>91</v>
      </c>
      <c r="C63" s="7" t="s">
        <v>443</v>
      </c>
      <c r="D63" s="7" t="s">
        <v>444</v>
      </c>
      <c r="E63" s="7" t="s">
        <v>567</v>
      </c>
      <c r="F63" s="7"/>
      <c r="G63" s="12" t="s">
        <v>339</v>
      </c>
      <c r="H63" s="7" t="s">
        <v>568</v>
      </c>
      <c r="I63" s="7" t="s">
        <v>545</v>
      </c>
      <c r="J63" s="22">
        <v>86</v>
      </c>
      <c r="K63" s="7"/>
      <c r="L63" s="7" t="s">
        <v>569</v>
      </c>
      <c r="M63" s="7" t="s">
        <v>570</v>
      </c>
      <c r="N63" s="7" t="s">
        <v>105</v>
      </c>
      <c r="O63" s="12" t="str">
        <f t="shared" si="1"/>
        <v>진행</v>
      </c>
      <c r="P63" s="12"/>
      <c r="Q63" s="12" t="str">
        <f>IF(P63="","",INDEX(시험별비교!$B$5:$B$25,MATCH(P63,시험별비교!$A$5:$A$25,0)))</f>
        <v/>
      </c>
      <c r="R63" s="7"/>
    </row>
    <row r="64" spans="1:18" x14ac:dyDescent="0.45">
      <c r="A64" s="12">
        <v>18</v>
      </c>
      <c r="B64" s="12" t="s">
        <v>91</v>
      </c>
      <c r="C64" s="7" t="s">
        <v>571</v>
      </c>
      <c r="D64" s="7" t="s">
        <v>218</v>
      </c>
      <c r="E64" s="7" t="s">
        <v>220</v>
      </c>
      <c r="F64" s="7"/>
      <c r="G64" s="12" t="s">
        <v>339</v>
      </c>
      <c r="H64" s="7" t="s">
        <v>221</v>
      </c>
      <c r="I64" s="7" t="s">
        <v>545</v>
      </c>
      <c r="J64" s="22">
        <v>168</v>
      </c>
      <c r="K64" s="7"/>
      <c r="L64" s="7" t="s">
        <v>342</v>
      </c>
      <c r="M64" s="7" t="s">
        <v>548</v>
      </c>
      <c r="N64" s="7" t="s">
        <v>105</v>
      </c>
      <c r="O64" s="12" t="str">
        <f t="shared" si="1"/>
        <v>진행</v>
      </c>
      <c r="P64" s="12">
        <v>17</v>
      </c>
      <c r="Q64" s="12" t="str">
        <f>IF(P64="","",INDEX(시험별비교!$B$5:$B$25,MATCH(P64,시험별비교!$A$5:$A$25,0)))</f>
        <v>종료</v>
      </c>
      <c r="R64" s="7" t="s">
        <v>572</v>
      </c>
    </row>
    <row r="65" spans="1:18" x14ac:dyDescent="0.45">
      <c r="A65" s="12">
        <v>18</v>
      </c>
      <c r="B65" s="12" t="s">
        <v>91</v>
      </c>
      <c r="C65" s="7" t="s">
        <v>89</v>
      </c>
      <c r="D65" s="7" t="s">
        <v>90</v>
      </c>
      <c r="E65" s="7" t="s">
        <v>114</v>
      </c>
      <c r="F65" s="7"/>
      <c r="G65" s="12" t="s">
        <v>339</v>
      </c>
      <c r="H65" s="7" t="s">
        <v>115</v>
      </c>
      <c r="I65" s="7" t="s">
        <v>545</v>
      </c>
      <c r="J65" s="22">
        <v>310</v>
      </c>
      <c r="K65" s="7"/>
      <c r="L65" s="7" t="s">
        <v>480</v>
      </c>
      <c r="M65" s="7" t="s">
        <v>548</v>
      </c>
      <c r="N65" s="7" t="s">
        <v>105</v>
      </c>
      <c r="O65" s="12" t="str">
        <f t="shared" si="1"/>
        <v>진행</v>
      </c>
      <c r="P65" s="12">
        <v>3</v>
      </c>
      <c r="Q65" s="12" t="str">
        <f>IF(P65="","",INDEX(시험별비교!$B$5:$B$25,MATCH(P65,시험별비교!$A$5:$A$25,0)))</f>
        <v>모집중</v>
      </c>
      <c r="R65" s="7" t="s">
        <v>573</v>
      </c>
    </row>
    <row r="66" spans="1:18" ht="32" x14ac:dyDescent="0.45">
      <c r="A66" s="12">
        <v>18</v>
      </c>
      <c r="B66" s="12" t="s">
        <v>91</v>
      </c>
      <c r="C66" s="7" t="s">
        <v>574</v>
      </c>
      <c r="D66" s="7" t="s">
        <v>575</v>
      </c>
      <c r="E66" s="7" t="s">
        <v>576</v>
      </c>
      <c r="F66" s="7"/>
      <c r="G66" s="12" t="s">
        <v>339</v>
      </c>
      <c r="H66" s="7" t="s">
        <v>577</v>
      </c>
      <c r="I66" s="7" t="s">
        <v>545</v>
      </c>
      <c r="J66" s="22">
        <v>84</v>
      </c>
      <c r="K66" s="7"/>
      <c r="L66" s="7" t="s">
        <v>463</v>
      </c>
      <c r="M66" s="7" t="s">
        <v>546</v>
      </c>
      <c r="N66" s="7" t="s">
        <v>105</v>
      </c>
      <c r="O66" s="12" t="str">
        <f t="shared" si="1"/>
        <v>진행</v>
      </c>
      <c r="P66" s="12"/>
      <c r="Q66" s="12" t="str">
        <f>IF(P66="","",INDEX(시험별비교!$B$5:$B$25,MATCH(P66,시험별비교!$A$5:$A$25,0)))</f>
        <v/>
      </c>
      <c r="R66" s="7"/>
    </row>
    <row r="67" spans="1:18" x14ac:dyDescent="0.45">
      <c r="A67" s="12">
        <v>18</v>
      </c>
      <c r="B67" s="12" t="s">
        <v>91</v>
      </c>
      <c r="C67" s="7" t="s">
        <v>578</v>
      </c>
      <c r="D67" s="7" t="s">
        <v>233</v>
      </c>
      <c r="E67" s="7" t="s">
        <v>235</v>
      </c>
      <c r="F67" s="7"/>
      <c r="G67" s="12" t="s">
        <v>339</v>
      </c>
      <c r="H67" s="7" t="s">
        <v>236</v>
      </c>
      <c r="I67" s="7" t="s">
        <v>545</v>
      </c>
      <c r="J67" s="22">
        <v>392</v>
      </c>
      <c r="K67" s="7"/>
      <c r="L67" s="7" t="s">
        <v>463</v>
      </c>
      <c r="M67" s="7" t="s">
        <v>579</v>
      </c>
      <c r="N67" s="7" t="s">
        <v>105</v>
      </c>
      <c r="O67" s="12" t="str">
        <f t="shared" si="1"/>
        <v>진행</v>
      </c>
      <c r="P67" s="12">
        <v>19</v>
      </c>
      <c r="Q67" s="12" t="str">
        <f>IF(P67="","",INDEX(시험별비교!$B$5:$B$25,MATCH(P67,시험별비교!$A$5:$A$25,0)))</f>
        <v>모집중</v>
      </c>
      <c r="R67" s="7"/>
    </row>
    <row r="68" spans="1:18" x14ac:dyDescent="0.45">
      <c r="A68" s="12">
        <v>19</v>
      </c>
      <c r="B68" s="12" t="s">
        <v>91</v>
      </c>
      <c r="C68" s="7" t="s">
        <v>119</v>
      </c>
      <c r="D68" s="7" t="s">
        <v>120</v>
      </c>
      <c r="E68" s="7" t="s">
        <v>227</v>
      </c>
      <c r="F68" s="7"/>
      <c r="G68" s="12" t="s">
        <v>339</v>
      </c>
      <c r="H68" s="7" t="s">
        <v>228</v>
      </c>
      <c r="I68" s="7" t="s">
        <v>580</v>
      </c>
      <c r="J68" s="22">
        <v>399</v>
      </c>
      <c r="K68" s="7"/>
      <c r="L68" s="7" t="s">
        <v>581</v>
      </c>
      <c r="M68" s="7" t="s">
        <v>548</v>
      </c>
      <c r="N68" s="7" t="s">
        <v>229</v>
      </c>
      <c r="O68" s="12" t="str">
        <f t="shared" si="1"/>
        <v>진행</v>
      </c>
      <c r="P68" s="12">
        <v>18</v>
      </c>
      <c r="Q68" s="12" t="str">
        <f>IF(P68="","",INDEX(시험별비교!$B$5:$B$25,MATCH(P68,시험별비교!$A$5:$A$25,0)))</f>
        <v>모집중</v>
      </c>
      <c r="R68" s="7"/>
    </row>
    <row r="69" spans="1:18" ht="32" x14ac:dyDescent="0.45">
      <c r="A69" s="12">
        <v>19</v>
      </c>
      <c r="B69" s="12" t="s">
        <v>91</v>
      </c>
      <c r="C69" s="7" t="s">
        <v>582</v>
      </c>
      <c r="D69" s="7" t="s">
        <v>583</v>
      </c>
      <c r="E69" s="7" t="s">
        <v>584</v>
      </c>
      <c r="F69" s="7"/>
      <c r="G69" s="12" t="s">
        <v>339</v>
      </c>
      <c r="H69" s="7" t="s">
        <v>585</v>
      </c>
      <c r="I69" s="7" t="s">
        <v>545</v>
      </c>
      <c r="J69" s="22">
        <v>308</v>
      </c>
      <c r="K69" s="7"/>
      <c r="L69" s="7" t="s">
        <v>463</v>
      </c>
      <c r="M69" s="7" t="s">
        <v>586</v>
      </c>
      <c r="N69" s="7" t="s">
        <v>229</v>
      </c>
      <c r="O69" s="12" t="str">
        <f t="shared" ref="O69:O100" si="2">IF(ISNUMBER(SEARCH("Approved",N69)),"승인",IF(N69="Closeout","종료",IF(N69="Maintenance","유지","진행")))</f>
        <v>진행</v>
      </c>
      <c r="P69" s="12"/>
      <c r="Q69" s="12" t="str">
        <f>IF(P69="","",INDEX(시험별비교!$B$5:$B$25,MATCH(P69,시험별비교!$A$5:$A$25,0)))</f>
        <v/>
      </c>
      <c r="R69" s="7" t="s">
        <v>587</v>
      </c>
    </row>
    <row r="70" spans="1:18" x14ac:dyDescent="0.45">
      <c r="A70" s="12">
        <v>19</v>
      </c>
      <c r="B70" s="12" t="s">
        <v>91</v>
      </c>
      <c r="C70" s="7" t="s">
        <v>588</v>
      </c>
      <c r="D70" s="7" t="s">
        <v>589</v>
      </c>
      <c r="E70" s="7" t="s">
        <v>590</v>
      </c>
      <c r="F70" s="7"/>
      <c r="G70" s="12" t="s">
        <v>339</v>
      </c>
      <c r="H70" s="7" t="s">
        <v>591</v>
      </c>
      <c r="I70" s="7" t="s">
        <v>545</v>
      </c>
      <c r="J70" s="22">
        <v>217</v>
      </c>
      <c r="K70" s="7"/>
      <c r="L70" s="7" t="s">
        <v>463</v>
      </c>
      <c r="M70" s="7" t="s">
        <v>548</v>
      </c>
      <c r="N70" s="7" t="s">
        <v>229</v>
      </c>
      <c r="O70" s="12" t="str">
        <f t="shared" si="2"/>
        <v>진행</v>
      </c>
      <c r="P70" s="12"/>
      <c r="Q70" s="12" t="str">
        <f>IF(P70="","",INDEX(시험별비교!$B$5:$B$25,MATCH(P70,시험별비교!$A$5:$A$25,0)))</f>
        <v/>
      </c>
      <c r="R70" s="7"/>
    </row>
    <row r="71" spans="1:18" ht="32" x14ac:dyDescent="0.45">
      <c r="A71" s="12">
        <v>19</v>
      </c>
      <c r="B71" s="12" t="s">
        <v>91</v>
      </c>
      <c r="C71" s="7" t="s">
        <v>592</v>
      </c>
      <c r="D71" s="7" t="s">
        <v>593</v>
      </c>
      <c r="E71" s="7" t="s">
        <v>594</v>
      </c>
      <c r="F71" s="7" t="s">
        <v>595</v>
      </c>
      <c r="G71" s="12" t="s">
        <v>339</v>
      </c>
      <c r="H71" s="7" t="s">
        <v>596</v>
      </c>
      <c r="I71" s="7" t="s">
        <v>597</v>
      </c>
      <c r="J71" s="22">
        <v>220</v>
      </c>
      <c r="K71" s="7" t="s">
        <v>456</v>
      </c>
      <c r="L71" s="7" t="s">
        <v>342</v>
      </c>
      <c r="M71" s="7" t="s">
        <v>598</v>
      </c>
      <c r="N71" s="7" t="s">
        <v>125</v>
      </c>
      <c r="O71" s="12" t="str">
        <f t="shared" si="2"/>
        <v>진행</v>
      </c>
      <c r="P71" s="12"/>
      <c r="Q71" s="12" t="str">
        <f>IF(P71="","",INDEX(시험별비교!$B$5:$B$25,MATCH(P71,시험별비교!$A$5:$A$25,0)))</f>
        <v/>
      </c>
      <c r="R71" s="7" t="s">
        <v>599</v>
      </c>
    </row>
    <row r="72" spans="1:18" ht="32" x14ac:dyDescent="0.45">
      <c r="A72" s="12">
        <v>19</v>
      </c>
      <c r="B72" s="12" t="s">
        <v>600</v>
      </c>
      <c r="C72" s="7" t="s">
        <v>601</v>
      </c>
      <c r="D72" s="7" t="s">
        <v>602</v>
      </c>
      <c r="E72" s="7" t="s">
        <v>603</v>
      </c>
      <c r="F72" s="7"/>
      <c r="G72" s="12" t="s">
        <v>339</v>
      </c>
      <c r="H72" s="7" t="s">
        <v>604</v>
      </c>
      <c r="I72" s="7" t="s">
        <v>605</v>
      </c>
      <c r="J72" s="22">
        <v>479</v>
      </c>
      <c r="K72" s="7" t="s">
        <v>456</v>
      </c>
      <c r="L72" s="7" t="s">
        <v>342</v>
      </c>
      <c r="M72" s="7" t="s">
        <v>606</v>
      </c>
      <c r="N72" s="7" t="s">
        <v>125</v>
      </c>
      <c r="O72" s="12" t="str">
        <f t="shared" si="2"/>
        <v>진행</v>
      </c>
      <c r="P72" s="12"/>
      <c r="Q72" s="12" t="str">
        <f>IF(P72="","",INDEX(시험별비교!$B$5:$B$25,MATCH(P72,시험별비교!$A$5:$A$25,0)))</f>
        <v/>
      </c>
      <c r="R72" s="7" t="s">
        <v>607</v>
      </c>
    </row>
    <row r="73" spans="1:18" ht="32" x14ac:dyDescent="0.45">
      <c r="A73" s="12">
        <v>19</v>
      </c>
      <c r="B73" s="12" t="s">
        <v>91</v>
      </c>
      <c r="C73" s="7" t="s">
        <v>592</v>
      </c>
      <c r="D73" s="7" t="s">
        <v>608</v>
      </c>
      <c r="E73" s="7" t="s">
        <v>609</v>
      </c>
      <c r="F73" s="7" t="s">
        <v>610</v>
      </c>
      <c r="G73" s="12" t="s">
        <v>339</v>
      </c>
      <c r="H73" s="7" t="s">
        <v>611</v>
      </c>
      <c r="I73" s="7" t="s">
        <v>597</v>
      </c>
      <c r="J73" s="22">
        <v>29</v>
      </c>
      <c r="K73" s="7" t="s">
        <v>456</v>
      </c>
      <c r="L73" s="7" t="s">
        <v>612</v>
      </c>
      <c r="M73" s="7" t="s">
        <v>432</v>
      </c>
      <c r="N73" s="7" t="s">
        <v>245</v>
      </c>
      <c r="O73" s="12" t="str">
        <f t="shared" si="2"/>
        <v>유지</v>
      </c>
      <c r="P73" s="12"/>
      <c r="Q73" s="12" t="str">
        <f>IF(P73="","",INDEX(시험별비교!$B$5:$B$25,MATCH(P73,시험별비교!$A$5:$A$25,0)))</f>
        <v/>
      </c>
      <c r="R73" s="7" t="s">
        <v>613</v>
      </c>
    </row>
    <row r="74" spans="1:18" x14ac:dyDescent="0.45">
      <c r="A74" s="12">
        <v>19</v>
      </c>
      <c r="B74" s="12" t="s">
        <v>91</v>
      </c>
      <c r="C74" s="7" t="s">
        <v>614</v>
      </c>
      <c r="D74" s="7" t="s">
        <v>196</v>
      </c>
      <c r="E74" s="7" t="s">
        <v>198</v>
      </c>
      <c r="F74" s="7"/>
      <c r="G74" s="12" t="s">
        <v>339</v>
      </c>
      <c r="H74" s="7" t="s">
        <v>199</v>
      </c>
      <c r="I74" s="7" t="s">
        <v>545</v>
      </c>
      <c r="J74" s="22">
        <v>103</v>
      </c>
      <c r="K74" s="7"/>
      <c r="L74" s="7" t="s">
        <v>565</v>
      </c>
      <c r="M74" s="7" t="s">
        <v>548</v>
      </c>
      <c r="N74" s="7" t="s">
        <v>200</v>
      </c>
      <c r="O74" s="12" t="str">
        <f t="shared" si="2"/>
        <v>종료</v>
      </c>
      <c r="P74" s="12">
        <v>14</v>
      </c>
      <c r="Q74" s="12" t="str">
        <f>IF(P74="","",INDEX(시험별비교!$B$5:$B$25,MATCH(P74,시험별비교!$A$5:$A$25,0)))</f>
        <v>종료</v>
      </c>
      <c r="R74" s="7"/>
    </row>
    <row r="75" spans="1:18" ht="32" x14ac:dyDescent="0.45">
      <c r="A75" s="12">
        <v>20</v>
      </c>
      <c r="B75" s="12" t="s">
        <v>91</v>
      </c>
      <c r="C75" s="7" t="s">
        <v>592</v>
      </c>
      <c r="D75" s="7" t="s">
        <v>615</v>
      </c>
      <c r="E75" s="7" t="s">
        <v>616</v>
      </c>
      <c r="F75" s="7" t="s">
        <v>617</v>
      </c>
      <c r="G75" s="12" t="s">
        <v>347</v>
      </c>
      <c r="H75" s="7" t="s">
        <v>618</v>
      </c>
      <c r="I75" s="7" t="s">
        <v>619</v>
      </c>
      <c r="J75" s="22">
        <v>252</v>
      </c>
      <c r="K75" s="7" t="s">
        <v>620</v>
      </c>
      <c r="L75" s="7" t="s">
        <v>342</v>
      </c>
      <c r="M75" s="7" t="s">
        <v>350</v>
      </c>
      <c r="N75" s="7" t="s">
        <v>245</v>
      </c>
      <c r="O75" s="12" t="str">
        <f t="shared" si="2"/>
        <v>유지</v>
      </c>
      <c r="P75" s="12"/>
      <c r="Q75" s="12" t="str">
        <f>IF(P75="","",INDEX(시험별비교!$B$5:$B$25,MATCH(P75,시험별비교!$A$5:$A$25,0)))</f>
        <v/>
      </c>
      <c r="R75" s="7" t="s">
        <v>613</v>
      </c>
    </row>
    <row r="76" spans="1:18" x14ac:dyDescent="0.45">
      <c r="A76" s="12">
        <v>20</v>
      </c>
      <c r="B76" s="12" t="s">
        <v>91</v>
      </c>
      <c r="C76" s="7" t="s">
        <v>621</v>
      </c>
      <c r="D76" s="7" t="s">
        <v>622</v>
      </c>
      <c r="E76" s="7" t="s">
        <v>623</v>
      </c>
      <c r="F76" s="7"/>
      <c r="G76" s="12" t="s">
        <v>347</v>
      </c>
      <c r="H76" s="7" t="s">
        <v>624</v>
      </c>
      <c r="I76" s="7" t="s">
        <v>625</v>
      </c>
      <c r="J76" s="22">
        <v>113</v>
      </c>
      <c r="K76" s="7"/>
      <c r="L76" s="7" t="s">
        <v>463</v>
      </c>
      <c r="M76" s="7" t="s">
        <v>350</v>
      </c>
      <c r="N76" s="7" t="s">
        <v>200</v>
      </c>
      <c r="O76" s="12" t="str">
        <f t="shared" si="2"/>
        <v>종료</v>
      </c>
      <c r="P76" s="12"/>
      <c r="Q76" s="12" t="str">
        <f>IF(P76="","",INDEX(시험별비교!$B$5:$B$25,MATCH(P76,시험별비교!$A$5:$A$25,0)))</f>
        <v/>
      </c>
      <c r="R76" s="7" t="s">
        <v>626</v>
      </c>
    </row>
    <row r="77" spans="1:18" ht="32" x14ac:dyDescent="0.45">
      <c r="A77" s="12">
        <v>20</v>
      </c>
      <c r="B77" s="12" t="s">
        <v>91</v>
      </c>
      <c r="C77" s="7" t="s">
        <v>627</v>
      </c>
      <c r="D77" s="7" t="s">
        <v>628</v>
      </c>
      <c r="E77" s="7" t="s">
        <v>629</v>
      </c>
      <c r="F77" s="7"/>
      <c r="G77" s="12" t="s">
        <v>347</v>
      </c>
      <c r="H77" s="7" t="s">
        <v>630</v>
      </c>
      <c r="I77" s="7" t="s">
        <v>631</v>
      </c>
      <c r="J77" s="22">
        <v>113</v>
      </c>
      <c r="K77" s="7"/>
      <c r="L77" s="7" t="s">
        <v>632</v>
      </c>
      <c r="M77" s="7" t="s">
        <v>633</v>
      </c>
      <c r="N77" s="7" t="s">
        <v>200</v>
      </c>
      <c r="O77" s="12" t="str">
        <f t="shared" si="2"/>
        <v>종료</v>
      </c>
      <c r="P77" s="12"/>
      <c r="Q77" s="12" t="str">
        <f>IF(P77="","",INDEX(시험별비교!$B$5:$B$25,MATCH(P77,시험별비교!$A$5:$A$25,0)))</f>
        <v/>
      </c>
      <c r="R77" s="7"/>
    </row>
    <row r="78" spans="1:18" x14ac:dyDescent="0.45">
      <c r="A78" s="12">
        <v>20</v>
      </c>
      <c r="B78" s="12" t="s">
        <v>91</v>
      </c>
      <c r="C78" s="7" t="s">
        <v>627</v>
      </c>
      <c r="D78" s="7" t="s">
        <v>628</v>
      </c>
      <c r="E78" s="7" t="s">
        <v>634</v>
      </c>
      <c r="F78" s="7"/>
      <c r="G78" s="12" t="s">
        <v>347</v>
      </c>
      <c r="H78" s="7" t="s">
        <v>635</v>
      </c>
      <c r="I78" s="7" t="s">
        <v>532</v>
      </c>
      <c r="J78" s="22">
        <v>116</v>
      </c>
      <c r="K78" s="7"/>
      <c r="L78" s="7" t="s">
        <v>636</v>
      </c>
      <c r="M78" s="7" t="s">
        <v>350</v>
      </c>
      <c r="N78" s="7" t="s">
        <v>200</v>
      </c>
      <c r="O78" s="12" t="str">
        <f t="shared" si="2"/>
        <v>종료</v>
      </c>
      <c r="P78" s="12"/>
      <c r="Q78" s="12" t="str">
        <f>IF(P78="","",INDEX(시험별비교!$B$5:$B$25,MATCH(P78,시험별비교!$A$5:$A$25,0)))</f>
        <v/>
      </c>
      <c r="R78" s="7"/>
    </row>
    <row r="79" spans="1:18" x14ac:dyDescent="0.45">
      <c r="A79" s="12">
        <v>20</v>
      </c>
      <c r="B79" s="12" t="s">
        <v>91</v>
      </c>
      <c r="C79" s="7" t="s">
        <v>592</v>
      </c>
      <c r="D79" s="7" t="s">
        <v>615</v>
      </c>
      <c r="E79" s="7" t="s">
        <v>637</v>
      </c>
      <c r="F79" s="7" t="s">
        <v>638</v>
      </c>
      <c r="G79" s="12" t="s">
        <v>347</v>
      </c>
      <c r="H79" s="7" t="s">
        <v>639</v>
      </c>
      <c r="I79" s="7" t="s">
        <v>640</v>
      </c>
      <c r="J79" s="22">
        <v>32</v>
      </c>
      <c r="K79" s="7" t="s">
        <v>377</v>
      </c>
      <c r="L79" s="7" t="s">
        <v>342</v>
      </c>
      <c r="M79" s="7" t="s">
        <v>350</v>
      </c>
      <c r="N79" s="7" t="s">
        <v>491</v>
      </c>
      <c r="O79" s="12" t="str">
        <f t="shared" si="2"/>
        <v>승인</v>
      </c>
      <c r="P79" s="12"/>
      <c r="Q79" s="12" t="str">
        <f>IF(P79="","",INDEX(시험별비교!$B$5:$B$25,MATCH(P79,시험별비교!$A$5:$A$25,0)))</f>
        <v/>
      </c>
      <c r="R79" s="7"/>
    </row>
    <row r="80" spans="1:18" x14ac:dyDescent="0.45">
      <c r="A80" s="12">
        <v>20</v>
      </c>
      <c r="B80" s="12" t="s">
        <v>91</v>
      </c>
      <c r="C80" s="7" t="s">
        <v>641</v>
      </c>
      <c r="D80" s="7" t="s">
        <v>642</v>
      </c>
      <c r="E80" s="7" t="s">
        <v>643</v>
      </c>
      <c r="F80" s="7" t="s">
        <v>644</v>
      </c>
      <c r="G80" s="12" t="s">
        <v>347</v>
      </c>
      <c r="H80" s="7" t="s">
        <v>645</v>
      </c>
      <c r="I80" s="7" t="s">
        <v>646</v>
      </c>
      <c r="J80" s="22">
        <v>55</v>
      </c>
      <c r="K80" s="7"/>
      <c r="L80" s="7" t="s">
        <v>342</v>
      </c>
      <c r="M80" s="7" t="s">
        <v>350</v>
      </c>
      <c r="N80" s="7" t="s">
        <v>491</v>
      </c>
      <c r="O80" s="12" t="str">
        <f t="shared" si="2"/>
        <v>승인</v>
      </c>
      <c r="P80" s="12"/>
      <c r="Q80" s="12" t="str">
        <f>IF(P80="","",INDEX(시험별비교!$B$5:$B$25,MATCH(P80,시험별비교!$A$5:$A$25,0)))</f>
        <v/>
      </c>
      <c r="R80" s="7" t="s">
        <v>647</v>
      </c>
    </row>
    <row r="81" spans="1:18" x14ac:dyDescent="0.45">
      <c r="A81" s="12">
        <v>21</v>
      </c>
      <c r="B81" s="12" t="s">
        <v>91</v>
      </c>
      <c r="C81" s="7" t="s">
        <v>119</v>
      </c>
      <c r="D81" s="7" t="s">
        <v>120</v>
      </c>
      <c r="E81" s="7" t="s">
        <v>648</v>
      </c>
      <c r="F81" s="7" t="s">
        <v>649</v>
      </c>
      <c r="G81" s="12" t="s">
        <v>318</v>
      </c>
      <c r="H81" s="7" t="s">
        <v>124</v>
      </c>
      <c r="I81" s="7" t="s">
        <v>650</v>
      </c>
      <c r="J81" s="22">
        <v>1056</v>
      </c>
      <c r="K81" s="7"/>
      <c r="L81" s="7" t="s">
        <v>651</v>
      </c>
      <c r="M81" s="7" t="s">
        <v>322</v>
      </c>
      <c r="N81" s="7" t="s">
        <v>125</v>
      </c>
      <c r="O81" s="12" t="str">
        <f t="shared" si="2"/>
        <v>진행</v>
      </c>
      <c r="P81" s="12">
        <v>4</v>
      </c>
      <c r="Q81" s="12" t="str">
        <f>IF(P81="","",INDEX(시험별비교!$B$5:$B$25,MATCH(P81,시험별비교!$A$5:$A$25,0)))</f>
        <v>모집중</v>
      </c>
      <c r="R81" s="7" t="s">
        <v>652</v>
      </c>
    </row>
    <row r="82" spans="1:18" ht="32" x14ac:dyDescent="0.45">
      <c r="A82" s="12">
        <v>21</v>
      </c>
      <c r="B82" s="12" t="s">
        <v>91</v>
      </c>
      <c r="C82" s="7" t="s">
        <v>592</v>
      </c>
      <c r="D82" s="7" t="s">
        <v>615</v>
      </c>
      <c r="E82" s="7" t="s">
        <v>653</v>
      </c>
      <c r="F82" s="7" t="s">
        <v>654</v>
      </c>
      <c r="G82" s="12" t="s">
        <v>318</v>
      </c>
      <c r="H82" s="7" t="s">
        <v>655</v>
      </c>
      <c r="I82" s="7" t="s">
        <v>495</v>
      </c>
      <c r="J82" s="22">
        <v>330</v>
      </c>
      <c r="K82" s="7" t="s">
        <v>456</v>
      </c>
      <c r="L82" s="7" t="s">
        <v>656</v>
      </c>
      <c r="M82" s="7" t="s">
        <v>657</v>
      </c>
      <c r="N82" s="7" t="s">
        <v>125</v>
      </c>
      <c r="O82" s="12" t="str">
        <f t="shared" si="2"/>
        <v>진행</v>
      </c>
      <c r="P82" s="12"/>
      <c r="Q82" s="12" t="str">
        <f>IF(P82="","",INDEX(시험별비교!$B$5:$B$25,MATCH(P82,시험별비교!$A$5:$A$25,0)))</f>
        <v/>
      </c>
      <c r="R82" s="7" t="s">
        <v>613</v>
      </c>
    </row>
    <row r="83" spans="1:18" ht="32" x14ac:dyDescent="0.45">
      <c r="A83" s="12">
        <v>21</v>
      </c>
      <c r="B83" s="12" t="s">
        <v>91</v>
      </c>
      <c r="C83" s="7" t="s">
        <v>641</v>
      </c>
      <c r="D83" s="7" t="s">
        <v>642</v>
      </c>
      <c r="E83" s="7" t="s">
        <v>658</v>
      </c>
      <c r="F83" s="7" t="s">
        <v>659</v>
      </c>
      <c r="G83" s="12" t="s">
        <v>318</v>
      </c>
      <c r="H83" s="7" t="s">
        <v>660</v>
      </c>
      <c r="I83" s="7" t="s">
        <v>661</v>
      </c>
      <c r="J83" s="22">
        <v>286</v>
      </c>
      <c r="K83" s="7" t="s">
        <v>662</v>
      </c>
      <c r="L83" s="7" t="s">
        <v>663</v>
      </c>
      <c r="M83" s="7" t="s">
        <v>322</v>
      </c>
      <c r="N83" s="7" t="s">
        <v>125</v>
      </c>
      <c r="O83" s="12" t="str">
        <f t="shared" si="2"/>
        <v>진행</v>
      </c>
      <c r="P83" s="12"/>
      <c r="Q83" s="12" t="str">
        <f>IF(P83="","",INDEX(시험별비교!$B$5:$B$25,MATCH(P83,시험별비교!$A$5:$A$25,0)))</f>
        <v/>
      </c>
      <c r="R83" s="7" t="s">
        <v>664</v>
      </c>
    </row>
    <row r="84" spans="1:18" x14ac:dyDescent="0.45">
      <c r="A84" s="12">
        <v>21</v>
      </c>
      <c r="B84" s="12" t="s">
        <v>91</v>
      </c>
      <c r="C84" s="7" t="s">
        <v>641</v>
      </c>
      <c r="D84" s="7" t="s">
        <v>642</v>
      </c>
      <c r="E84" s="7" t="s">
        <v>665</v>
      </c>
      <c r="F84" s="7" t="s">
        <v>666</v>
      </c>
      <c r="G84" s="12" t="s">
        <v>318</v>
      </c>
      <c r="H84" s="7" t="s">
        <v>667</v>
      </c>
      <c r="I84" s="7" t="s">
        <v>668</v>
      </c>
      <c r="J84" s="22">
        <v>437</v>
      </c>
      <c r="K84" s="7" t="s">
        <v>669</v>
      </c>
      <c r="L84" s="7" t="s">
        <v>670</v>
      </c>
      <c r="M84" s="7" t="s">
        <v>657</v>
      </c>
      <c r="N84" s="7" t="s">
        <v>245</v>
      </c>
      <c r="O84" s="12" t="str">
        <f t="shared" si="2"/>
        <v>유지</v>
      </c>
      <c r="P84" s="12"/>
      <c r="Q84" s="12" t="str">
        <f>IF(P84="","",INDEX(시험별비교!$B$5:$B$25,MATCH(P84,시험별비교!$A$5:$A$25,0)))</f>
        <v/>
      </c>
      <c r="R84" s="7" t="s">
        <v>671</v>
      </c>
    </row>
    <row r="85" spans="1:18" ht="32" x14ac:dyDescent="0.45">
      <c r="A85" s="12">
        <v>21</v>
      </c>
      <c r="B85" s="12" t="s">
        <v>91</v>
      </c>
      <c r="C85" s="7" t="s">
        <v>592</v>
      </c>
      <c r="D85" s="7" t="s">
        <v>615</v>
      </c>
      <c r="E85" s="7" t="s">
        <v>672</v>
      </c>
      <c r="F85" s="7" t="s">
        <v>673</v>
      </c>
      <c r="G85" s="12" t="s">
        <v>318</v>
      </c>
      <c r="H85" s="7" t="s">
        <v>674</v>
      </c>
      <c r="I85" s="7" t="s">
        <v>495</v>
      </c>
      <c r="J85" s="22">
        <v>563</v>
      </c>
      <c r="K85" s="7" t="s">
        <v>456</v>
      </c>
      <c r="L85" s="7" t="s">
        <v>675</v>
      </c>
      <c r="M85" s="7" t="s">
        <v>496</v>
      </c>
      <c r="N85" s="7" t="s">
        <v>245</v>
      </c>
      <c r="O85" s="12" t="str">
        <f t="shared" si="2"/>
        <v>유지</v>
      </c>
      <c r="P85" s="12"/>
      <c r="Q85" s="12" t="str">
        <f>IF(P85="","",INDEX(시험별비교!$B$5:$B$25,MATCH(P85,시험별비교!$A$5:$A$25,0)))</f>
        <v/>
      </c>
      <c r="R85" s="7" t="s">
        <v>613</v>
      </c>
    </row>
    <row r="86" spans="1:18" ht="32" x14ac:dyDescent="0.45">
      <c r="A86" s="12">
        <v>21</v>
      </c>
      <c r="B86" s="12" t="s">
        <v>91</v>
      </c>
      <c r="C86" s="7" t="s">
        <v>592</v>
      </c>
      <c r="D86" s="7" t="s">
        <v>615</v>
      </c>
      <c r="E86" s="7" t="s">
        <v>676</v>
      </c>
      <c r="F86" s="7" t="s">
        <v>677</v>
      </c>
      <c r="G86" s="12" t="s">
        <v>318</v>
      </c>
      <c r="H86" s="7" t="s">
        <v>678</v>
      </c>
      <c r="I86" s="7" t="s">
        <v>619</v>
      </c>
      <c r="J86" s="22">
        <v>509</v>
      </c>
      <c r="K86" s="7" t="s">
        <v>456</v>
      </c>
      <c r="L86" s="7" t="s">
        <v>342</v>
      </c>
      <c r="M86" s="7" t="s">
        <v>496</v>
      </c>
      <c r="N86" s="7" t="s">
        <v>344</v>
      </c>
      <c r="O86" s="12" t="str">
        <f t="shared" si="2"/>
        <v>승인</v>
      </c>
      <c r="P86" s="12"/>
      <c r="Q86" s="12" t="str">
        <f>IF(P86="","",INDEX(시험별비교!$B$5:$B$25,MATCH(P86,시험별비교!$A$5:$A$25,0)))</f>
        <v/>
      </c>
      <c r="R86" s="7" t="s">
        <v>613</v>
      </c>
    </row>
    <row r="87" spans="1:18" ht="32" x14ac:dyDescent="0.45">
      <c r="A87" s="12">
        <v>21</v>
      </c>
      <c r="B87" s="12" t="s">
        <v>91</v>
      </c>
      <c r="C87" s="7" t="s">
        <v>592</v>
      </c>
      <c r="D87" s="7" t="s">
        <v>615</v>
      </c>
      <c r="E87" s="7" t="s">
        <v>679</v>
      </c>
      <c r="F87" s="7" t="s">
        <v>680</v>
      </c>
      <c r="G87" s="12" t="s">
        <v>318</v>
      </c>
      <c r="H87" s="7" t="s">
        <v>681</v>
      </c>
      <c r="I87" s="7" t="s">
        <v>682</v>
      </c>
      <c r="J87" s="22">
        <v>404</v>
      </c>
      <c r="K87" s="7" t="s">
        <v>456</v>
      </c>
      <c r="L87" s="7" t="s">
        <v>342</v>
      </c>
      <c r="M87" s="7" t="s">
        <v>657</v>
      </c>
      <c r="N87" s="7" t="s">
        <v>245</v>
      </c>
      <c r="O87" s="12" t="str">
        <f t="shared" si="2"/>
        <v>유지</v>
      </c>
      <c r="P87" s="12"/>
      <c r="Q87" s="12" t="str">
        <f>IF(P87="","",INDEX(시험별비교!$B$5:$B$25,MATCH(P87,시험별비교!$A$5:$A$25,0)))</f>
        <v/>
      </c>
      <c r="R87" s="7" t="s">
        <v>613</v>
      </c>
    </row>
    <row r="88" spans="1:18" ht="32" x14ac:dyDescent="0.45">
      <c r="A88" s="12">
        <v>22</v>
      </c>
      <c r="B88" s="12" t="s">
        <v>683</v>
      </c>
      <c r="C88" s="7" t="s">
        <v>684</v>
      </c>
      <c r="D88" s="7" t="s">
        <v>685</v>
      </c>
      <c r="E88" s="7" t="s">
        <v>686</v>
      </c>
      <c r="F88" s="7"/>
      <c r="G88" s="12" t="s">
        <v>339</v>
      </c>
      <c r="H88" s="7" t="s">
        <v>687</v>
      </c>
      <c r="I88" s="7" t="s">
        <v>688</v>
      </c>
      <c r="J88" s="22">
        <v>98</v>
      </c>
      <c r="K88" s="7"/>
      <c r="L88" s="7" t="s">
        <v>342</v>
      </c>
      <c r="M88" s="7" t="s">
        <v>689</v>
      </c>
      <c r="N88" s="7" t="s">
        <v>125</v>
      </c>
      <c r="O88" s="12" t="str">
        <f t="shared" si="2"/>
        <v>진행</v>
      </c>
      <c r="P88" s="12"/>
      <c r="Q88" s="12" t="str">
        <f>IF(P88="","",INDEX(시험별비교!$B$5:$B$25,MATCH(P88,시험별비교!$A$5:$A$25,0)))</f>
        <v/>
      </c>
      <c r="R88" s="7"/>
    </row>
    <row r="89" spans="1:18" x14ac:dyDescent="0.45">
      <c r="A89" s="12">
        <v>22</v>
      </c>
      <c r="B89" s="12" t="s">
        <v>683</v>
      </c>
      <c r="C89" s="7" t="s">
        <v>421</v>
      </c>
      <c r="D89" s="7" t="s">
        <v>157</v>
      </c>
      <c r="E89" s="7" t="s">
        <v>690</v>
      </c>
      <c r="F89" s="7"/>
      <c r="G89" s="12" t="s">
        <v>339</v>
      </c>
      <c r="H89" s="7" t="s">
        <v>691</v>
      </c>
      <c r="I89" s="7" t="s">
        <v>692</v>
      </c>
      <c r="J89" s="22">
        <v>34</v>
      </c>
      <c r="K89" s="7"/>
      <c r="L89" s="7" t="s">
        <v>342</v>
      </c>
      <c r="M89" s="7" t="s">
        <v>693</v>
      </c>
      <c r="N89" s="7" t="s">
        <v>245</v>
      </c>
      <c r="O89" s="12" t="str">
        <f t="shared" si="2"/>
        <v>유지</v>
      </c>
      <c r="P89" s="12"/>
      <c r="Q89" s="12" t="str">
        <f>IF(P89="","",INDEX(시험별비교!$B$5:$B$25,MATCH(P89,시험별비교!$A$5:$A$25,0)))</f>
        <v/>
      </c>
      <c r="R89" s="7"/>
    </row>
    <row r="90" spans="1:18" ht="32" x14ac:dyDescent="0.45">
      <c r="A90" s="12">
        <v>22</v>
      </c>
      <c r="B90" s="12" t="s">
        <v>683</v>
      </c>
      <c r="C90" s="7" t="s">
        <v>314</v>
      </c>
      <c r="D90" s="7" t="s">
        <v>315</v>
      </c>
      <c r="E90" s="7" t="s">
        <v>694</v>
      </c>
      <c r="F90" s="7"/>
      <c r="G90" s="12" t="s">
        <v>695</v>
      </c>
      <c r="H90" s="7" t="s">
        <v>696</v>
      </c>
      <c r="I90" s="7" t="s">
        <v>697</v>
      </c>
      <c r="J90" s="22">
        <v>178</v>
      </c>
      <c r="K90" s="7"/>
      <c r="L90" s="7" t="s">
        <v>342</v>
      </c>
      <c r="M90" s="7" t="s">
        <v>698</v>
      </c>
      <c r="N90" s="7" t="s">
        <v>245</v>
      </c>
      <c r="O90" s="12" t="str">
        <f t="shared" si="2"/>
        <v>유지</v>
      </c>
      <c r="P90" s="12"/>
      <c r="Q90" s="12" t="str">
        <f>IF(P90="","",INDEX(시험별비교!$B$5:$B$25,MATCH(P90,시험별비교!$A$5:$A$25,0)))</f>
        <v/>
      </c>
      <c r="R90" s="7"/>
    </row>
    <row r="91" spans="1:18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45">
      <c r="A92" s="10" t="s">
        <v>699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45">
      <c r="A93" s="10" t="s">
        <v>700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45">
      <c r="A94" s="10" t="s">
        <v>701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45">
      <c r="A95" s="10" t="s">
        <v>702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45">
      <c r="A96" s="10" t="s">
        <v>703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</sheetData>
  <autoFilter ref="A4:R90" xr:uid="{00000000-0009-0000-0000-000003000000}"/>
  <phoneticPr fontId="8" type="noConversion"/>
  <conditionalFormatting sqref="A5:R90">
    <cfRule type="expression" dxfId="3" priority="1">
      <formula>$P5&lt;&gt;""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2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4" customWidth="1"/>
    <col min="2" max="2" width="20" customWidth="1"/>
    <col min="3" max="4" width="18" customWidth="1"/>
    <col min="5" max="5" width="15" customWidth="1"/>
    <col min="6" max="6" width="9" customWidth="1"/>
    <col min="7" max="7" width="13" customWidth="1"/>
    <col min="8" max="8" width="32" customWidth="1"/>
    <col min="9" max="11" width="11" customWidth="1"/>
    <col min="12" max="12" width="15" customWidth="1"/>
    <col min="13" max="13" width="9" customWidth="1"/>
    <col min="14" max="14" width="12" customWidth="1"/>
    <col min="15" max="15" width="10" customWidth="1"/>
    <col min="16" max="16" width="8" customWidth="1"/>
    <col min="17" max="17" width="52" customWidth="1"/>
  </cols>
  <sheetData>
    <row r="1" spans="1:17" ht="25.5" x14ac:dyDescent="0.7">
      <c r="A1" s="1" t="s">
        <v>704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45">
      <c r="A2" s="3" t="s">
        <v>705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0" customHeight="1" x14ac:dyDescent="0.45">
      <c r="A4" s="11" t="s">
        <v>706</v>
      </c>
      <c r="B4" s="11" t="s">
        <v>707</v>
      </c>
      <c r="C4" s="11" t="s">
        <v>74</v>
      </c>
      <c r="D4" s="11" t="s">
        <v>708</v>
      </c>
      <c r="E4" s="11" t="s">
        <v>709</v>
      </c>
      <c r="F4" s="11" t="s">
        <v>710</v>
      </c>
      <c r="G4" s="11" t="s">
        <v>711</v>
      </c>
      <c r="H4" s="11" t="s">
        <v>712</v>
      </c>
      <c r="I4" s="11" t="s">
        <v>713</v>
      </c>
      <c r="J4" s="11" t="s">
        <v>714</v>
      </c>
      <c r="K4" s="11" t="s">
        <v>715</v>
      </c>
      <c r="L4" s="11" t="s">
        <v>716</v>
      </c>
      <c r="M4" s="11" t="s">
        <v>717</v>
      </c>
      <c r="N4" s="11" t="s">
        <v>718</v>
      </c>
      <c r="O4" s="11" t="s">
        <v>719</v>
      </c>
      <c r="P4" s="11" t="s">
        <v>720</v>
      </c>
      <c r="Q4" s="11" t="s">
        <v>84</v>
      </c>
    </row>
    <row r="5" spans="1:17" ht="32" x14ac:dyDescent="0.45">
      <c r="A5" s="8" t="s">
        <v>721</v>
      </c>
      <c r="B5" s="7" t="s">
        <v>722</v>
      </c>
      <c r="C5" s="7" t="s">
        <v>315</v>
      </c>
      <c r="D5" s="12" t="s">
        <v>723</v>
      </c>
      <c r="E5" s="7" t="s">
        <v>342</v>
      </c>
      <c r="F5" s="12" t="str">
        <f t="shared" ref="F5:F21" si="0">IF(D5="China","N","Y")</f>
        <v>Y</v>
      </c>
      <c r="G5" s="12" t="str">
        <f t="shared" ref="G5:G21" si="1">IF(F5="N","해당 없음",IF(H5="","미허가","허가"))</f>
        <v>허가</v>
      </c>
      <c r="H5" s="7" t="s">
        <v>724</v>
      </c>
      <c r="I5" s="13">
        <v>44616</v>
      </c>
      <c r="J5" s="12" t="s">
        <v>725</v>
      </c>
      <c r="K5" s="12" t="s">
        <v>726</v>
      </c>
      <c r="L5" s="12" t="s">
        <v>727</v>
      </c>
      <c r="M5" s="12" t="s">
        <v>728</v>
      </c>
      <c r="N5" s="7" t="s">
        <v>729</v>
      </c>
      <c r="O5" s="12" t="s">
        <v>730</v>
      </c>
      <c r="P5" s="12" t="s">
        <v>731</v>
      </c>
      <c r="Q5" s="7" t="s">
        <v>732</v>
      </c>
    </row>
    <row r="6" spans="1:17" ht="32" x14ac:dyDescent="0.45">
      <c r="A6" s="8" t="s">
        <v>733</v>
      </c>
      <c r="B6" s="7" t="s">
        <v>734</v>
      </c>
      <c r="C6" s="7" t="s">
        <v>148</v>
      </c>
      <c r="D6" s="12" t="s">
        <v>723</v>
      </c>
      <c r="E6" s="7" t="s">
        <v>342</v>
      </c>
      <c r="F6" s="12" t="str">
        <f t="shared" si="0"/>
        <v>Y</v>
      </c>
      <c r="G6" s="12" t="str">
        <f t="shared" si="1"/>
        <v>허가</v>
      </c>
      <c r="H6" s="7" t="s">
        <v>735</v>
      </c>
      <c r="I6" s="13">
        <v>45250</v>
      </c>
      <c r="J6" s="12" t="s">
        <v>736</v>
      </c>
      <c r="K6" s="12" t="s">
        <v>737</v>
      </c>
      <c r="L6" s="12" t="s">
        <v>727</v>
      </c>
      <c r="M6" s="12" t="s">
        <v>728</v>
      </c>
      <c r="N6" s="7" t="s">
        <v>738</v>
      </c>
      <c r="O6" s="12" t="s">
        <v>739</v>
      </c>
      <c r="P6" s="12" t="s">
        <v>731</v>
      </c>
      <c r="Q6" s="7" t="s">
        <v>740</v>
      </c>
    </row>
    <row r="7" spans="1:17" ht="32" x14ac:dyDescent="0.45">
      <c r="A7" s="8" t="s">
        <v>741</v>
      </c>
      <c r="B7" s="7" t="s">
        <v>742</v>
      </c>
      <c r="C7" s="7" t="s">
        <v>131</v>
      </c>
      <c r="D7" s="12" t="s">
        <v>723</v>
      </c>
      <c r="E7" s="7" t="s">
        <v>342</v>
      </c>
      <c r="F7" s="12" t="str">
        <f t="shared" si="0"/>
        <v>Y</v>
      </c>
      <c r="G7" s="12" t="str">
        <f t="shared" si="1"/>
        <v>미허가</v>
      </c>
      <c r="H7" s="7"/>
      <c r="I7" s="13"/>
      <c r="J7" s="12"/>
      <c r="K7" s="12"/>
      <c r="L7" s="12"/>
      <c r="M7" s="12"/>
      <c r="N7" s="7"/>
      <c r="O7" s="12"/>
      <c r="P7" s="12"/>
      <c r="Q7" s="7" t="s">
        <v>743</v>
      </c>
    </row>
    <row r="8" spans="1:17" ht="32" x14ac:dyDescent="0.45">
      <c r="A8" s="8" t="s">
        <v>744</v>
      </c>
      <c r="B8" s="7" t="s">
        <v>745</v>
      </c>
      <c r="C8" s="7" t="s">
        <v>642</v>
      </c>
      <c r="D8" s="12" t="s">
        <v>746</v>
      </c>
      <c r="E8" s="7" t="s">
        <v>747</v>
      </c>
      <c r="F8" s="12" t="str">
        <f t="shared" si="0"/>
        <v>Y</v>
      </c>
      <c r="G8" s="12" t="str">
        <f t="shared" si="1"/>
        <v>허가</v>
      </c>
      <c r="H8" s="7" t="s">
        <v>748</v>
      </c>
      <c r="I8" s="13">
        <v>46100</v>
      </c>
      <c r="J8" s="12" t="s">
        <v>749</v>
      </c>
      <c r="K8" s="12" t="s">
        <v>737</v>
      </c>
      <c r="L8" s="12" t="s">
        <v>750</v>
      </c>
      <c r="M8" s="12" t="s">
        <v>728</v>
      </c>
      <c r="N8" s="7" t="s">
        <v>751</v>
      </c>
      <c r="O8" s="12" t="s">
        <v>752</v>
      </c>
      <c r="P8" s="12" t="s">
        <v>753</v>
      </c>
      <c r="Q8" s="7" t="s">
        <v>754</v>
      </c>
    </row>
    <row r="9" spans="1:17" x14ac:dyDescent="0.45">
      <c r="A9" s="8" t="s">
        <v>755</v>
      </c>
      <c r="B9" s="7" t="s">
        <v>756</v>
      </c>
      <c r="C9" s="7" t="s">
        <v>615</v>
      </c>
      <c r="D9" s="12" t="s">
        <v>757</v>
      </c>
      <c r="E9" s="7" t="s">
        <v>758</v>
      </c>
      <c r="F9" s="12" t="str">
        <f t="shared" si="0"/>
        <v>N</v>
      </c>
      <c r="G9" s="12" t="str">
        <f t="shared" si="1"/>
        <v>해당 없음</v>
      </c>
      <c r="H9" s="7"/>
      <c r="I9" s="13"/>
      <c r="J9" s="12"/>
      <c r="K9" s="12"/>
      <c r="L9" s="12"/>
      <c r="M9" s="12"/>
      <c r="N9" s="7"/>
      <c r="O9" s="12"/>
      <c r="P9" s="12"/>
      <c r="Q9" s="7" t="s">
        <v>759</v>
      </c>
    </row>
    <row r="10" spans="1:17" x14ac:dyDescent="0.45">
      <c r="A10" s="8" t="s">
        <v>760</v>
      </c>
      <c r="B10" s="7" t="s">
        <v>761</v>
      </c>
      <c r="C10" s="7" t="s">
        <v>762</v>
      </c>
      <c r="D10" s="12" t="s">
        <v>757</v>
      </c>
      <c r="E10" s="7" t="s">
        <v>758</v>
      </c>
      <c r="F10" s="12" t="str">
        <f t="shared" si="0"/>
        <v>N</v>
      </c>
      <c r="G10" s="12" t="str">
        <f t="shared" si="1"/>
        <v>해당 없음</v>
      </c>
      <c r="H10" s="7"/>
      <c r="I10" s="13"/>
      <c r="J10" s="12"/>
      <c r="K10" s="12"/>
      <c r="L10" s="12"/>
      <c r="M10" s="12"/>
      <c r="N10" s="7"/>
      <c r="O10" s="12"/>
      <c r="P10" s="12"/>
      <c r="Q10" s="7" t="s">
        <v>759</v>
      </c>
    </row>
    <row r="11" spans="1:17" x14ac:dyDescent="0.45">
      <c r="A11" s="8" t="s">
        <v>763</v>
      </c>
      <c r="B11" s="7" t="s">
        <v>764</v>
      </c>
      <c r="C11" s="7" t="s">
        <v>452</v>
      </c>
      <c r="D11" s="12" t="s">
        <v>757</v>
      </c>
      <c r="E11" s="7" t="s">
        <v>758</v>
      </c>
      <c r="F11" s="12" t="str">
        <f t="shared" si="0"/>
        <v>N</v>
      </c>
      <c r="G11" s="12" t="str">
        <f t="shared" si="1"/>
        <v>해당 없음</v>
      </c>
      <c r="H11" s="7"/>
      <c r="I11" s="13"/>
      <c r="J11" s="12"/>
      <c r="K11" s="12"/>
      <c r="L11" s="12"/>
      <c r="M11" s="12"/>
      <c r="N11" s="7"/>
      <c r="O11" s="12"/>
      <c r="P11" s="12"/>
      <c r="Q11" s="7" t="s">
        <v>759</v>
      </c>
    </row>
    <row r="12" spans="1:17" x14ac:dyDescent="0.45">
      <c r="A12" s="8" t="s">
        <v>765</v>
      </c>
      <c r="B12" s="7" t="s">
        <v>766</v>
      </c>
      <c r="C12" s="7" t="s">
        <v>767</v>
      </c>
      <c r="D12" s="12" t="s">
        <v>757</v>
      </c>
      <c r="E12" s="7" t="s">
        <v>758</v>
      </c>
      <c r="F12" s="12" t="str">
        <f t="shared" si="0"/>
        <v>N</v>
      </c>
      <c r="G12" s="12" t="str">
        <f t="shared" si="1"/>
        <v>해당 없음</v>
      </c>
      <c r="H12" s="7"/>
      <c r="I12" s="13"/>
      <c r="J12" s="12"/>
      <c r="K12" s="12"/>
      <c r="L12" s="12"/>
      <c r="M12" s="12"/>
      <c r="N12" s="7"/>
      <c r="O12" s="12"/>
      <c r="P12" s="12"/>
      <c r="Q12" s="7" t="s">
        <v>759</v>
      </c>
    </row>
    <row r="13" spans="1:17" x14ac:dyDescent="0.45">
      <c r="A13" s="8" t="s">
        <v>768</v>
      </c>
      <c r="B13" s="7" t="s">
        <v>769</v>
      </c>
      <c r="C13" s="7" t="s">
        <v>770</v>
      </c>
      <c r="D13" s="12" t="s">
        <v>757</v>
      </c>
      <c r="E13" s="7" t="s">
        <v>771</v>
      </c>
      <c r="F13" s="12" t="str">
        <f t="shared" si="0"/>
        <v>N</v>
      </c>
      <c r="G13" s="12" t="str">
        <f t="shared" si="1"/>
        <v>해당 없음</v>
      </c>
      <c r="H13" s="7"/>
      <c r="I13" s="13"/>
      <c r="J13" s="12"/>
      <c r="K13" s="12"/>
      <c r="L13" s="12"/>
      <c r="M13" s="12"/>
      <c r="N13" s="7"/>
      <c r="O13" s="12"/>
      <c r="P13" s="12"/>
      <c r="Q13" s="7" t="s">
        <v>759</v>
      </c>
    </row>
    <row r="14" spans="1:17" x14ac:dyDescent="0.45">
      <c r="A14" s="8" t="s">
        <v>772</v>
      </c>
      <c r="B14" s="7" t="s">
        <v>773</v>
      </c>
      <c r="C14" s="7" t="s">
        <v>774</v>
      </c>
      <c r="D14" s="12" t="s">
        <v>757</v>
      </c>
      <c r="E14" s="7" t="s">
        <v>771</v>
      </c>
      <c r="F14" s="12" t="str">
        <f t="shared" si="0"/>
        <v>N</v>
      </c>
      <c r="G14" s="12" t="str">
        <f t="shared" si="1"/>
        <v>해당 없음</v>
      </c>
      <c r="H14" s="7"/>
      <c r="I14" s="13"/>
      <c r="J14" s="12"/>
      <c r="K14" s="12"/>
      <c r="L14" s="12"/>
      <c r="M14" s="12"/>
      <c r="N14" s="7"/>
      <c r="O14" s="12"/>
      <c r="P14" s="12"/>
      <c r="Q14" s="7" t="s">
        <v>759</v>
      </c>
    </row>
    <row r="15" spans="1:17" x14ac:dyDescent="0.45">
      <c r="A15" s="8" t="s">
        <v>775</v>
      </c>
      <c r="B15" s="7" t="s">
        <v>776</v>
      </c>
      <c r="C15" s="7" t="s">
        <v>777</v>
      </c>
      <c r="D15" s="12" t="s">
        <v>757</v>
      </c>
      <c r="E15" s="7" t="s">
        <v>778</v>
      </c>
      <c r="F15" s="12" t="str">
        <f t="shared" si="0"/>
        <v>N</v>
      </c>
      <c r="G15" s="12" t="str">
        <f t="shared" si="1"/>
        <v>해당 없음</v>
      </c>
      <c r="H15" s="7"/>
      <c r="I15" s="13"/>
      <c r="J15" s="12"/>
      <c r="K15" s="12"/>
      <c r="L15" s="12"/>
      <c r="M15" s="12"/>
      <c r="N15" s="7"/>
      <c r="O15" s="12"/>
      <c r="P15" s="12"/>
      <c r="Q15" s="7" t="s">
        <v>759</v>
      </c>
    </row>
    <row r="16" spans="1:17" x14ac:dyDescent="0.45">
      <c r="A16" s="8" t="s">
        <v>779</v>
      </c>
      <c r="B16" s="7" t="s">
        <v>780</v>
      </c>
      <c r="C16" s="7" t="s">
        <v>781</v>
      </c>
      <c r="D16" s="12" t="s">
        <v>757</v>
      </c>
      <c r="E16" s="7" t="s">
        <v>778</v>
      </c>
      <c r="F16" s="12" t="str">
        <f t="shared" si="0"/>
        <v>N</v>
      </c>
      <c r="G16" s="12" t="str">
        <f t="shared" si="1"/>
        <v>해당 없음</v>
      </c>
      <c r="H16" s="7"/>
      <c r="I16" s="13"/>
      <c r="J16" s="12"/>
      <c r="K16" s="12"/>
      <c r="L16" s="12"/>
      <c r="M16" s="12"/>
      <c r="N16" s="7"/>
      <c r="O16" s="12"/>
      <c r="P16" s="12"/>
      <c r="Q16" s="7" t="s">
        <v>759</v>
      </c>
    </row>
    <row r="17" spans="1:17" x14ac:dyDescent="0.45">
      <c r="A17" s="8" t="s">
        <v>782</v>
      </c>
      <c r="B17" s="7" t="s">
        <v>783</v>
      </c>
      <c r="C17" s="7" t="s">
        <v>784</v>
      </c>
      <c r="D17" s="12" t="s">
        <v>757</v>
      </c>
      <c r="E17" s="7" t="s">
        <v>778</v>
      </c>
      <c r="F17" s="12" t="str">
        <f t="shared" si="0"/>
        <v>N</v>
      </c>
      <c r="G17" s="12" t="str">
        <f t="shared" si="1"/>
        <v>해당 없음</v>
      </c>
      <c r="H17" s="7"/>
      <c r="I17" s="13"/>
      <c r="J17" s="12"/>
      <c r="K17" s="12"/>
      <c r="L17" s="12"/>
      <c r="M17" s="12"/>
      <c r="N17" s="7"/>
      <c r="O17" s="12"/>
      <c r="P17" s="12"/>
      <c r="Q17" s="7" t="s">
        <v>759</v>
      </c>
    </row>
    <row r="18" spans="1:17" x14ac:dyDescent="0.45">
      <c r="A18" s="8" t="s">
        <v>785</v>
      </c>
      <c r="B18" s="7" t="s">
        <v>786</v>
      </c>
      <c r="C18" s="7" t="s">
        <v>787</v>
      </c>
      <c r="D18" s="12" t="s">
        <v>757</v>
      </c>
      <c r="E18" s="7" t="s">
        <v>778</v>
      </c>
      <c r="F18" s="12" t="str">
        <f t="shared" si="0"/>
        <v>N</v>
      </c>
      <c r="G18" s="12" t="str">
        <f t="shared" si="1"/>
        <v>해당 없음</v>
      </c>
      <c r="H18" s="7"/>
      <c r="I18" s="13"/>
      <c r="J18" s="12"/>
      <c r="K18" s="12"/>
      <c r="L18" s="12"/>
      <c r="M18" s="12"/>
      <c r="N18" s="7"/>
      <c r="O18" s="12"/>
      <c r="P18" s="12"/>
      <c r="Q18" s="7" t="s">
        <v>759</v>
      </c>
    </row>
    <row r="19" spans="1:17" x14ac:dyDescent="0.45">
      <c r="A19" s="8" t="s">
        <v>788</v>
      </c>
      <c r="B19" s="7" t="s">
        <v>789</v>
      </c>
      <c r="C19" s="7" t="s">
        <v>790</v>
      </c>
      <c r="D19" s="12" t="s">
        <v>757</v>
      </c>
      <c r="E19" s="7" t="s">
        <v>778</v>
      </c>
      <c r="F19" s="12" t="str">
        <f t="shared" si="0"/>
        <v>N</v>
      </c>
      <c r="G19" s="12" t="str">
        <f t="shared" si="1"/>
        <v>해당 없음</v>
      </c>
      <c r="H19" s="7"/>
      <c r="I19" s="13"/>
      <c r="J19" s="12"/>
      <c r="K19" s="12"/>
      <c r="L19" s="12"/>
      <c r="M19" s="12"/>
      <c r="N19" s="7"/>
      <c r="O19" s="12"/>
      <c r="P19" s="12"/>
      <c r="Q19" s="7" t="s">
        <v>759</v>
      </c>
    </row>
    <row r="20" spans="1:17" x14ac:dyDescent="0.45">
      <c r="A20" s="8" t="s">
        <v>791</v>
      </c>
      <c r="B20" s="7" t="s">
        <v>792</v>
      </c>
      <c r="C20" s="7" t="s">
        <v>793</v>
      </c>
      <c r="D20" s="12" t="s">
        <v>757</v>
      </c>
      <c r="E20" s="7" t="s">
        <v>794</v>
      </c>
      <c r="F20" s="12" t="str">
        <f t="shared" si="0"/>
        <v>N</v>
      </c>
      <c r="G20" s="12" t="str">
        <f t="shared" si="1"/>
        <v>해당 없음</v>
      </c>
      <c r="H20" s="7"/>
      <c r="I20" s="13"/>
      <c r="J20" s="12"/>
      <c r="K20" s="12"/>
      <c r="L20" s="12"/>
      <c r="M20" s="12"/>
      <c r="N20" s="7"/>
      <c r="O20" s="12"/>
      <c r="P20" s="12"/>
      <c r="Q20" s="7" t="s">
        <v>759</v>
      </c>
    </row>
    <row r="21" spans="1:17" x14ac:dyDescent="0.45">
      <c r="A21" s="8" t="s">
        <v>795</v>
      </c>
      <c r="B21" s="7" t="s">
        <v>796</v>
      </c>
      <c r="C21" s="7" t="s">
        <v>797</v>
      </c>
      <c r="D21" s="12" t="s">
        <v>757</v>
      </c>
      <c r="E21" s="7" t="s">
        <v>798</v>
      </c>
      <c r="F21" s="12" t="str">
        <f t="shared" si="0"/>
        <v>N</v>
      </c>
      <c r="G21" s="12" t="str">
        <f t="shared" si="1"/>
        <v>해당 없음</v>
      </c>
      <c r="H21" s="7"/>
      <c r="I21" s="13"/>
      <c r="J21" s="12"/>
      <c r="K21" s="12"/>
      <c r="L21" s="12"/>
      <c r="M21" s="12"/>
      <c r="N21" s="7"/>
      <c r="O21" s="12"/>
      <c r="P21" s="12"/>
      <c r="Q21" s="7" t="s">
        <v>759</v>
      </c>
    </row>
    <row r="22" spans="1:17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5">
      <c r="A23" s="10" t="s">
        <v>799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5">
      <c r="A24" s="10" t="s">
        <v>800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5">
      <c r="A25" s="10" t="s">
        <v>801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phoneticPr fontId="8" type="noConversion"/>
  <conditionalFormatting sqref="A5:Q21">
    <cfRule type="expression" dxfId="2" priority="1">
      <formula>$G5="미허가"</formula>
    </cfRule>
    <cfRule type="expression" dxfId="1" priority="2">
      <formula>$G5="허가"</formula>
    </cfRule>
    <cfRule type="expression" dxfId="0" priority="3">
      <formula>$G5="해당 없음"</formula>
    </cfRule>
  </conditionalFormatting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시험별비교</vt:lpstr>
      <vt:lpstr>실시기관</vt:lpstr>
      <vt:lpstr>Appendix전체대조</vt:lpstr>
      <vt:lpstr>제품비교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SuJin Heo</cp:lastModifiedBy>
  <dcterms:created xsi:type="dcterms:W3CDTF">2026-10-12T21:30:14Z</dcterms:created>
  <dcterms:modified xsi:type="dcterms:W3CDTF">2026-10-12T21:30:41Z</dcterms:modified>
</cp:coreProperties>
</file>